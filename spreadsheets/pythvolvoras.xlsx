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nums &amp; denoms" sheetId="1" state="visible" r:id="rId2"/>
    <sheet name="many tables" sheetId="2" state="visible" r:id="rId3"/>
    <sheet name="# -&gt; b order with boxes" sheetId="3" state="visible" r:id="rId4"/>
    <sheet name="more smoove; bass too" sheetId="4" state="visible" r:id="rId5"/>
    <sheet name="smoove bass 54" sheetId="5" state="visible" r:id="rId6"/>
    <sheet name="duplicated, no 19s" sheetId="6" state="visible" r:id="rId7"/>
    <sheet name="putting tensions in order" sheetId="7" state="visible" r:id="rId8"/>
    <sheet name="plus tension meters" sheetId="8" state="visible" r:id="rId9"/>
  </sheets>
  <definedNames>
    <definedName function="false" hidden="true" localSheetId="5" name="_xlnm._FilterDatabase" vbProcedure="false">'duplicated, no 19s'!$A$4:$V$76</definedName>
    <definedName function="false" hidden="true" localSheetId="7" name="_xlnm._FilterDatabase" vbProcedure="false">'plus tension meters'!$A$4:$V$76</definedName>
    <definedName function="false" hidden="true" localSheetId="4" name="_xlnm._FilterDatabase" vbProcedure="false">'smoove bass 54'!$B$6:$U$60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<sst xmlns="http://schemas.openxmlformats.org/spreadsheetml/2006/main" count="593" uniqueCount="139">
  <si>
    <t xml:space="preserve">2,0</t>
  </si>
  <si>
    <t xml:space="preserve">1,1</t>
  </si>
  <si>
    <t xml:space="preserve">0,2</t>
  </si>
  <si>
    <t xml:space="preserve">0,1</t>
  </si>
  <si>
    <t xml:space="preserve">1, 2, b3, 5, b6, b7 </t>
  </si>
  <si>
    <t xml:space="preserve">1, b2, b3, 4, 5, b6</t>
  </si>
  <si>
    <t xml:space="preserve">1, b2, 4, b5, b6, b7</t>
  </si>
  <si>
    <t xml:space="preserve">six tones</t>
  </si>
  <si>
    <t xml:space="preserve">bIIIM7 and bVImaj7</t>
  </si>
  <si>
    <t xml:space="preserve">bVIMaj7 and bIIMaj7</t>
  </si>
  <si>
    <t xml:space="preserve">bIIMaj7 and bVMaj7</t>
  </si>
  <si>
    <t xml:space="preserve">aeolian no 4</t>
  </si>
  <si>
    <t xml:space="preserve">phrygian no 7</t>
  </si>
  <si>
    <t xml:space="preserve">locrian no 3</t>
  </si>
  <si>
    <t xml:space="preserve">1,0</t>
  </si>
  <si>
    <t xml:space="preserve">1,2,3,#4, 5, 7</t>
  </si>
  <si>
    <t xml:space="preserve">1, 3, 4, 5, 6, 7</t>
  </si>
  <si>
    <t xml:space="preserve">1,2,3,4,6,b7</t>
  </si>
  <si>
    <t xml:space="preserve">IMaj7 and VMaj7</t>
  </si>
  <si>
    <t xml:space="preserve">IMaj7 and IVMaj7</t>
  </si>
  <si>
    <t xml:space="preserve">IVMaj7 and bVIIMaj7</t>
  </si>
  <si>
    <t xml:space="preserve">lydian no 6</t>
  </si>
  <si>
    <t xml:space="preserve">ionian no 2</t>
  </si>
  <si>
    <t xml:space="preserve">mixolydian no 5</t>
  </si>
  <si>
    <t xml:space="preserve">1,b3,5,b6</t>
  </si>
  <si>
    <t xml:space="preserve">1,b2,4,b6</t>
  </si>
  <si>
    <t xml:space="preserve">four tones</t>
  </si>
  <si>
    <t xml:space="preserve">VIMaj7</t>
  </si>
  <si>
    <t xml:space="preserve">bIIMaj7</t>
  </si>
  <si>
    <t xml:space="preserve">1,3,5,7</t>
  </si>
  <si>
    <t xml:space="preserve">1,3,4,6</t>
  </si>
  <si>
    <t xml:space="preserve">IMaj7</t>
  </si>
  <si>
    <t xml:space="preserve">IVMaj7</t>
  </si>
  <si>
    <t xml:space="preserve">6,0</t>
  </si>
  <si>
    <t xml:space="preserve">Lydian</t>
  </si>
  <si>
    <t xml:space="preserve">4,0</t>
  </si>
  <si>
    <t xml:space="preserve">1,2,3,5,6</t>
  </si>
  <si>
    <t xml:space="preserve">5,1</t>
  </si>
  <si>
    <t xml:space="preserve">Ionian</t>
  </si>
  <si>
    <t xml:space="preserve">3,1</t>
  </si>
  <si>
    <t xml:space="preserve">1,2,4,5,6</t>
  </si>
  <si>
    <t xml:space="preserve">4,2</t>
  </si>
  <si>
    <t xml:space="preserve">Mixolydian</t>
  </si>
  <si>
    <t xml:space="preserve">2,2</t>
  </si>
  <si>
    <t xml:space="preserve">1,2,4,5,b7</t>
  </si>
  <si>
    <t xml:space="preserve">STACKED</t>
  </si>
  <si>
    <t xml:space="preserve">3,3</t>
  </si>
  <si>
    <t xml:space="preserve">Dorian</t>
  </si>
  <si>
    <t xml:space="preserve">1,3</t>
  </si>
  <si>
    <t xml:space="preserve">1,b3,4,5,b7</t>
  </si>
  <si>
    <t xml:space="preserve">FIFTHS</t>
  </si>
  <si>
    <t xml:space="preserve">2,4</t>
  </si>
  <si>
    <t xml:space="preserve">Aeolian</t>
  </si>
  <si>
    <t xml:space="preserve">0,4</t>
  </si>
  <si>
    <t xml:space="preserve">1,b3,4,b6,b7</t>
  </si>
  <si>
    <t xml:space="preserve">1,5</t>
  </si>
  <si>
    <t xml:space="preserve">Phrygian</t>
  </si>
  <si>
    <t xml:space="preserve">3,0</t>
  </si>
  <si>
    <t xml:space="preserve">1,2,5,6</t>
  </si>
  <si>
    <t xml:space="preserve">5,0</t>
  </si>
  <si>
    <t xml:space="preserve">1,2,3,5,6,7</t>
  </si>
  <si>
    <t xml:space="preserve">2,1</t>
  </si>
  <si>
    <t xml:space="preserve">1,2,4,5</t>
  </si>
  <si>
    <t xml:space="preserve">4,1</t>
  </si>
  <si>
    <t xml:space="preserve">1,2,3,4,5,6</t>
  </si>
  <si>
    <t xml:space="preserve">1,2</t>
  </si>
  <si>
    <t xml:space="preserve">1,4,5,b7</t>
  </si>
  <si>
    <t xml:space="preserve">3,2</t>
  </si>
  <si>
    <t xml:space="preserve">1,2,4,5,6,b7</t>
  </si>
  <si>
    <t xml:space="preserve">0,3</t>
  </si>
  <si>
    <t xml:space="preserve">1,b3,4,b7</t>
  </si>
  <si>
    <t xml:space="preserve">2,3</t>
  </si>
  <si>
    <t xml:space="preserve">1,2,b3,4,5,b7</t>
  </si>
  <si>
    <t xml:space="preserve">1,4</t>
  </si>
  <si>
    <t xml:space="preserve">1,b3,4,5,b6,b7</t>
  </si>
  <si>
    <t xml:space="preserve">0,5</t>
  </si>
  <si>
    <t xml:space="preserve">1,b2,b3,4,b6,b7</t>
  </si>
  <si>
    <t xml:space="preserve">1,2,5</t>
  </si>
  <si>
    <t xml:space="preserve">1,4,5</t>
  </si>
  <si>
    <t xml:space="preserve">1,4,b7</t>
  </si>
  <si>
    <t xml:space="preserve">Locrian</t>
  </si>
  <si>
    <t xml:space="preserve">1,3,5,6</t>
  </si>
  <si>
    <t xml:space="preserve">1,2,4,6</t>
  </si>
  <si>
    <t xml:space="preserve">1,b3,5,b7</t>
  </si>
  <si>
    <t xml:space="preserve">1,b3,4,b6</t>
  </si>
  <si>
    <t xml:space="preserve">pitches</t>
  </si>
  <si>
    <t xml:space="preserve">#</t>
  </si>
  <si>
    <t xml:space="preserve">SIMPLE SORT BY #/b</t>
  </si>
  <si>
    <t xml:space="preserve">3+ PITCHES ONLY</t>
  </si>
  <si>
    <t xml:space="preserve">4+ PITCHES ONLY</t>
  </si>
  <si>
    <t xml:space="preserve">5+ PITCHES ONLY</t>
  </si>
  <si>
    <t xml:space="preserve">6+ PITCHES ONLY</t>
  </si>
  <si>
    <t xml:space="preserve">7+ PITCHES ONLY</t>
  </si>
  <si>
    <t xml:space="preserve">4,5,6</t>
  </si>
  <si>
    <t xml:space="preserve">no 19s; 4+</t>
  </si>
  <si>
    <t xml:space="preserve">###</t>
  </si>
  <si>
    <t xml:space="preserve">3/</t>
  </si>
  <si>
    <t xml:space="preserve">/3</t>
  </si>
  <si>
    <t xml:space="preserve">5/</t>
  </si>
  <si>
    <t xml:space="preserve">/5</t>
  </si>
  <si>
    <t xml:space="preserve">19/</t>
  </si>
  <si>
    <t xml:space="preserve">/19</t>
  </si>
  <si>
    <t xml:space="preserve">b2</t>
  </si>
  <si>
    <t xml:space="preserve">b3</t>
  </si>
  <si>
    <t xml:space="preserve">#4</t>
  </si>
  <si>
    <t xml:space="preserve">b5</t>
  </si>
  <si>
    <t xml:space="preserve">b6</t>
  </si>
  <si>
    <t xml:space="preserve">b7</t>
  </si>
  <si>
    <t xml:space="preserve">p</t>
  </si>
  <si>
    <t xml:space="preserve">---</t>
  </si>
  <si>
    <t xml:space="preserve">LET'S AVOID m9s</t>
  </si>
  <si>
    <t xml:space="preserve">justified</t>
  </si>
  <si>
    <t xml:space="preserve">fill it out</t>
  </si>
  <si>
    <t xml:space="preserve">ALL 54</t>
  </si>
  <si>
    <t xml:space="preserve">bass1</t>
  </si>
  <si>
    <t xml:space="preserve">bass2</t>
  </si>
  <si>
    <t xml:space="preserve">bass3</t>
  </si>
  <si>
    <t xml:space="preserve">bass4</t>
  </si>
  <si>
    <t xml:space="preserve">bass5</t>
  </si>
  <si>
    <t xml:space="preserve">bass6</t>
  </si>
  <si>
    <t xml:space="preserve">bass7</t>
  </si>
  <si>
    <t xml:space="preserve">quan</t>
  </si>
  <si>
    <t xml:space="preserve">tize</t>
  </si>
  <si>
    <t xml:space="preserve">the </t>
  </si>
  <si>
    <t xml:space="preserve">bass</t>
  </si>
  <si>
    <t xml:space="preserve">pitchs</t>
  </si>
  <si>
    <t xml:space="preserve"> </t>
  </si>
  <si>
    <t xml:space="preserve">5 limit</t>
  </si>
  <si>
    <t xml:space="preserve">R</t>
  </si>
  <si>
    <t xml:space="preserve">P5</t>
  </si>
  <si>
    <t xml:space="preserve">Tr</t>
  </si>
  <si>
    <t xml:space="preserve">HERE IT IS</t>
  </si>
  <si>
    <t xml:space="preserve">P4</t>
  </si>
  <si>
    <t xml:space="preserve">three</t>
  </si>
  <si>
    <t xml:space="preserve">five</t>
  </si>
  <si>
    <t xml:space="preserve">seven</t>
  </si>
  <si>
    <t xml:space="preserve">nine</t>
  </si>
  <si>
    <t xml:space="preserve">eleven</t>
  </si>
  <si>
    <t xml:space="preserve">thirteen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</si>
</sst>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44"/>
      <name val="Arial"/>
      <family val="2"/>
      <charset val="1"/>
    </font>
    <font>
      <b val="true"/>
      <sz val="54"/>
      <name val="Arial"/>
      <family val="2"/>
      <charset val="1"/>
    </font>
    <font>
      <sz val="54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999999"/>
        <bgColor rgb="FF808080"/>
      </patternFill>
    </fill>
    <fill>
      <patternFill patternType="solid">
        <fgColor rgb="FFE8F2A1"/>
        <bgColor rgb="FFFFFFCC"/>
      </patternFill>
    </fill>
    <fill>
      <patternFill patternType="solid">
        <fgColor rgb="FFB3CAC7"/>
        <bgColor rgb="FFCCCCFF"/>
      </patternFill>
    </fill>
    <fill>
      <patternFill patternType="solid">
        <fgColor rgb="FFDEE7E5"/>
        <bgColor rgb="FFCC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AF6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1" activeCellId="0" sqref="D1"/>
    </sheetView>
  </sheetViews>
  <sheetFormatPr defaultColWidth="11.66015625" defaultRowHeight="17.9" zeroHeight="false" outlineLevelRow="0" outlineLevelCol="0"/>
  <cols>
    <col collapsed="false" customWidth="true" hidden="false" outlineLevel="0" max="1" min="1" style="1" width="11.52"/>
    <col collapsed="false" customWidth="true" hidden="false" outlineLevel="0" max="2" min="2" style="1" width="6.28"/>
    <col collapsed="false" customWidth="true" hidden="false" outlineLevel="0" max="3" min="3" style="1" width="3.9"/>
    <col collapsed="false" customWidth="true" hidden="false" outlineLevel="0" max="4" min="4" style="1" width="15.95"/>
    <col collapsed="false" customWidth="true" hidden="false" outlineLevel="0" max="5" min="5" style="1" width="15.44"/>
    <col collapsed="false" customWidth="true" hidden="false" outlineLevel="0" max="6" min="6" style="1" width="5.86"/>
    <col collapsed="false" customWidth="true" hidden="false" outlineLevel="0" max="7" min="7" style="1" width="12.13"/>
    <col collapsed="false" customWidth="true" hidden="false" outlineLevel="0" max="8" min="8" style="1" width="7.61"/>
    <col collapsed="false" customWidth="true" hidden="false" outlineLevel="0" max="9" min="9" style="2" width="11.52"/>
    <col collapsed="false" customWidth="true" hidden="false" outlineLevel="0" max="10" min="10" style="1" width="2.92"/>
    <col collapsed="false" customWidth="true" hidden="false" outlineLevel="0" max="11" min="11" style="1" width="5.83"/>
    <col collapsed="false" customWidth="true" hidden="false" outlineLevel="0" max="12" min="12" style="1" width="4.07"/>
    <col collapsed="false" customWidth="true" hidden="false" outlineLevel="0" max="13" min="13" style="1" width="18.24"/>
    <col collapsed="false" customWidth="true" hidden="false" outlineLevel="0" max="14" min="14" style="1" width="19.17"/>
    <col collapsed="false" customWidth="true" hidden="false" outlineLevel="0" max="15" min="15" style="1" width="4.07"/>
    <col collapsed="false" customWidth="true" hidden="false" outlineLevel="0" max="16" min="16" style="1" width="17.21"/>
    <col collapsed="false" customWidth="true" hidden="false" outlineLevel="0" max="17" min="17" style="1" width="7.68"/>
    <col collapsed="false" customWidth="true" hidden="false" outlineLevel="0" max="19" min="18" style="1" width="4.78"/>
    <col collapsed="false" customWidth="true" hidden="false" outlineLevel="0" max="20" min="20" style="1" width="3.79"/>
    <col collapsed="false" customWidth="true" hidden="false" outlineLevel="0" max="21" min="21" style="1" width="4.07"/>
    <col collapsed="false" customWidth="true" hidden="false" outlineLevel="0" max="23" min="22" style="1" width="18.24"/>
    <col collapsed="false" customWidth="true" hidden="false" outlineLevel="0" max="24" min="24" style="1" width="4.07"/>
    <col collapsed="false" customWidth="true" hidden="false" outlineLevel="0" max="25" min="25" style="1" width="15.95"/>
    <col collapsed="false" customWidth="true" hidden="false" outlineLevel="0" max="64" min="26" style="1" width="11.52"/>
  </cols>
  <sheetData>
    <row r="1" customFormat="false" ht="17.9" hidden="false" customHeight="true" outlineLevel="0" collapsed="false">
      <c r="C1" s="3"/>
      <c r="D1" s="3"/>
      <c r="E1" s="3"/>
      <c r="F1" s="3"/>
      <c r="G1" s="3"/>
      <c r="L1" s="3"/>
      <c r="M1" s="3"/>
      <c r="N1" s="3"/>
      <c r="O1" s="3"/>
      <c r="P1" s="3"/>
      <c r="U1" s="3"/>
      <c r="V1" s="3"/>
      <c r="W1" s="3"/>
      <c r="X1" s="3"/>
      <c r="Y1" s="3"/>
    </row>
    <row r="3" customFormat="false" ht="17.9" hidden="false" customHeight="true" outlineLevel="0" collapsed="false">
      <c r="E3" s="4" t="n">
        <v>3</v>
      </c>
      <c r="N3" s="4" t="n">
        <v>3</v>
      </c>
      <c r="W3" s="4" t="n">
        <v>3</v>
      </c>
    </row>
    <row r="4" customFormat="false" ht="17.9" hidden="false" customHeight="true" outlineLevel="0" collapsed="false">
      <c r="E4" s="4"/>
      <c r="N4" s="4"/>
      <c r="W4" s="4"/>
    </row>
    <row r="5" customFormat="false" ht="17.9" hidden="false" customHeight="true" outlineLevel="0" collapsed="false">
      <c r="D5" s="5" t="s">
        <v>0</v>
      </c>
      <c r="E5" s="5" t="s">
        <v>1</v>
      </c>
      <c r="F5" s="5" t="s">
        <v>2</v>
      </c>
      <c r="M5" s="5" t="s">
        <v>0</v>
      </c>
      <c r="N5" s="5" t="s">
        <v>1</v>
      </c>
      <c r="O5" s="5" t="s">
        <v>2</v>
      </c>
      <c r="V5" s="5" t="s">
        <v>0</v>
      </c>
      <c r="W5" s="5" t="s">
        <v>1</v>
      </c>
      <c r="X5" s="5" t="s">
        <v>2</v>
      </c>
    </row>
    <row r="6" customFormat="false" ht="17.9" hidden="false" customHeight="true" outlineLevel="0" collapsed="false">
      <c r="B6" s="4" t="n">
        <v>5</v>
      </c>
      <c r="C6" s="5" t="s">
        <v>3</v>
      </c>
      <c r="D6" s="6" t="s">
        <v>4</v>
      </c>
      <c r="E6" s="6" t="s">
        <v>5</v>
      </c>
      <c r="F6" s="7" t="s">
        <v>6</v>
      </c>
      <c r="G6" s="7"/>
      <c r="I6" s="2" t="s">
        <v>7</v>
      </c>
      <c r="K6" s="4" t="n">
        <v>5</v>
      </c>
      <c r="L6" s="5" t="s">
        <v>3</v>
      </c>
      <c r="M6" s="7" t="s">
        <v>8</v>
      </c>
      <c r="N6" s="7" t="s">
        <v>9</v>
      </c>
      <c r="O6" s="7" t="s">
        <v>10</v>
      </c>
      <c r="P6" s="7"/>
      <c r="T6" s="4" t="n">
        <v>5</v>
      </c>
      <c r="U6" s="5" t="s">
        <v>3</v>
      </c>
      <c r="V6" s="7" t="s">
        <v>11</v>
      </c>
      <c r="W6" s="7" t="s">
        <v>12</v>
      </c>
      <c r="X6" s="7" t="s">
        <v>13</v>
      </c>
      <c r="Y6" s="7"/>
      <c r="AA6" s="0"/>
      <c r="AB6" s="0"/>
      <c r="AC6" s="0"/>
      <c r="AD6" s="0"/>
      <c r="AE6" s="0"/>
      <c r="AF6" s="0"/>
    </row>
    <row r="7" customFormat="false" ht="17.9" hidden="false" customHeight="true" outlineLevel="0" collapsed="false">
      <c r="B7" s="4"/>
      <c r="C7" s="5" t="s">
        <v>14</v>
      </c>
      <c r="D7" s="6" t="s">
        <v>15</v>
      </c>
      <c r="E7" s="6" t="s">
        <v>16</v>
      </c>
      <c r="F7" s="7" t="s">
        <v>17</v>
      </c>
      <c r="G7" s="7"/>
      <c r="K7" s="4"/>
      <c r="L7" s="5" t="s">
        <v>14</v>
      </c>
      <c r="M7" s="7" t="s">
        <v>18</v>
      </c>
      <c r="N7" s="7" t="s">
        <v>19</v>
      </c>
      <c r="O7" s="7" t="s">
        <v>20</v>
      </c>
      <c r="P7" s="7"/>
      <c r="T7" s="4"/>
      <c r="U7" s="5" t="s">
        <v>14</v>
      </c>
      <c r="V7" s="7" t="s">
        <v>21</v>
      </c>
      <c r="W7" s="7" t="s">
        <v>22</v>
      </c>
      <c r="X7" s="7" t="s">
        <v>23</v>
      </c>
      <c r="Y7" s="7"/>
      <c r="AA7" s="0"/>
      <c r="AB7" s="0"/>
      <c r="AC7" s="0"/>
      <c r="AD7" s="0"/>
      <c r="AE7" s="0"/>
      <c r="AF7" s="0"/>
    </row>
    <row r="8" customFormat="false" ht="17.9" hidden="false" customHeight="true" outlineLevel="0" collapsed="false">
      <c r="AA8" s="0"/>
      <c r="AB8" s="0"/>
      <c r="AC8" s="0"/>
      <c r="AD8" s="0"/>
      <c r="AE8" s="0"/>
      <c r="AF8" s="0"/>
    </row>
    <row r="9" customFormat="false" ht="17.9" hidden="false" customHeight="true" outlineLevel="0" collapsed="false">
      <c r="C9" s="3"/>
      <c r="D9" s="3"/>
      <c r="E9" s="3"/>
      <c r="F9" s="3"/>
      <c r="G9" s="3"/>
      <c r="L9" s="3"/>
      <c r="M9" s="3"/>
      <c r="N9" s="3"/>
      <c r="O9" s="3"/>
      <c r="P9" s="3"/>
      <c r="U9" s="3"/>
      <c r="V9" s="3"/>
      <c r="W9" s="3"/>
      <c r="X9" s="3"/>
      <c r="Y9" s="3"/>
      <c r="AA9" s="0"/>
      <c r="AB9" s="0"/>
      <c r="AC9" s="0"/>
      <c r="AD9" s="0"/>
      <c r="AE9" s="0"/>
      <c r="AF9" s="0"/>
    </row>
    <row r="10" customFormat="false" ht="17.9" hidden="false" customHeight="true" outlineLevel="0" collapsed="false">
      <c r="AA10" s="0"/>
      <c r="AB10" s="0"/>
      <c r="AC10" s="0"/>
      <c r="AD10" s="0"/>
      <c r="AE10" s="0"/>
      <c r="AF10" s="0"/>
    </row>
    <row r="11" customFormat="false" ht="17.9" hidden="false" customHeight="true" outlineLevel="0" collapsed="false">
      <c r="E11" s="4" t="n">
        <v>3</v>
      </c>
      <c r="N11" s="4" t="n">
        <v>3</v>
      </c>
      <c r="AA11" s="0"/>
      <c r="AB11" s="0"/>
      <c r="AC11" s="0"/>
      <c r="AD11" s="0"/>
      <c r="AE11" s="0"/>
      <c r="AF11" s="0"/>
    </row>
    <row r="12" customFormat="false" ht="17.9" hidden="false" customHeight="true" outlineLevel="0" collapsed="false">
      <c r="E12" s="4"/>
      <c r="N12" s="4"/>
    </row>
    <row r="13" customFormat="false" ht="17.9" hidden="false" customHeight="true" outlineLevel="0" collapsed="false">
      <c r="D13" s="5" t="s">
        <v>14</v>
      </c>
      <c r="E13" s="5" t="s">
        <v>3</v>
      </c>
      <c r="M13" s="5" t="s">
        <v>14</v>
      </c>
      <c r="N13" s="5" t="s">
        <v>3</v>
      </c>
    </row>
    <row r="14" customFormat="false" ht="17.9" hidden="false" customHeight="true" outlineLevel="0" collapsed="false">
      <c r="B14" s="4" t="n">
        <v>5</v>
      </c>
      <c r="C14" s="8" t="s">
        <v>3</v>
      </c>
      <c r="D14" s="6" t="s">
        <v>24</v>
      </c>
      <c r="E14" s="6" t="s">
        <v>25</v>
      </c>
      <c r="I14" s="2" t="s">
        <v>26</v>
      </c>
      <c r="K14" s="4" t="n">
        <v>5</v>
      </c>
      <c r="L14" s="8" t="s">
        <v>3</v>
      </c>
      <c r="M14" s="7" t="s">
        <v>27</v>
      </c>
      <c r="N14" s="7" t="s">
        <v>28</v>
      </c>
    </row>
    <row r="15" customFormat="false" ht="17.9" hidden="false" customHeight="true" outlineLevel="0" collapsed="false">
      <c r="B15" s="4"/>
      <c r="C15" s="8" t="s">
        <v>14</v>
      </c>
      <c r="D15" s="6" t="s">
        <v>29</v>
      </c>
      <c r="E15" s="6" t="s">
        <v>30</v>
      </c>
      <c r="K15" s="4"/>
      <c r="L15" s="8" t="s">
        <v>14</v>
      </c>
      <c r="M15" s="7" t="s">
        <v>31</v>
      </c>
      <c r="N15" s="7" t="s">
        <v>32</v>
      </c>
    </row>
    <row r="17" customFormat="false" ht="17.9" hidden="false" customHeight="true" outlineLevel="0" collapsed="false">
      <c r="C17" s="3"/>
      <c r="D17" s="3"/>
      <c r="E17" s="3"/>
      <c r="F17" s="3"/>
      <c r="G17" s="3"/>
      <c r="L17" s="3"/>
      <c r="M17" s="3"/>
      <c r="N17" s="3"/>
      <c r="O17" s="3"/>
      <c r="P17" s="3"/>
    </row>
    <row r="19" customFormat="false" ht="17.9" hidden="false" customHeight="true" outlineLevel="0" collapsed="false">
      <c r="C19" s="8" t="s">
        <v>33</v>
      </c>
      <c r="D19" s="7" t="s">
        <v>34</v>
      </c>
      <c r="F19" s="8" t="s">
        <v>35</v>
      </c>
      <c r="G19" s="7" t="s">
        <v>36</v>
      </c>
      <c r="L19" s="8" t="s">
        <v>33</v>
      </c>
      <c r="M19" s="7" t="s">
        <v>34</v>
      </c>
      <c r="O19" s="8" t="s">
        <v>35</v>
      </c>
      <c r="P19" s="7" t="s">
        <v>36</v>
      </c>
    </row>
    <row r="20" customFormat="false" ht="17.9" hidden="false" customHeight="true" outlineLevel="0" collapsed="false">
      <c r="C20" s="8" t="s">
        <v>37</v>
      </c>
      <c r="D20" s="7" t="s">
        <v>38</v>
      </c>
      <c r="F20" s="8" t="s">
        <v>39</v>
      </c>
      <c r="G20" s="7" t="s">
        <v>40</v>
      </c>
      <c r="L20" s="8" t="s">
        <v>37</v>
      </c>
      <c r="M20" s="7" t="s">
        <v>38</v>
      </c>
      <c r="O20" s="8" t="s">
        <v>39</v>
      </c>
      <c r="P20" s="7" t="s">
        <v>40</v>
      </c>
    </row>
    <row r="21" customFormat="false" ht="17.9" hidden="false" customHeight="true" outlineLevel="0" collapsed="false">
      <c r="C21" s="8" t="s">
        <v>41</v>
      </c>
      <c r="D21" s="7" t="s">
        <v>42</v>
      </c>
      <c r="E21" s="0"/>
      <c r="F21" s="8" t="s">
        <v>43</v>
      </c>
      <c r="G21" s="7" t="s">
        <v>44</v>
      </c>
      <c r="L21" s="8" t="s">
        <v>41</v>
      </c>
      <c r="M21" s="7" t="s">
        <v>42</v>
      </c>
      <c r="N21" s="9" t="s">
        <v>45</v>
      </c>
      <c r="O21" s="8" t="s">
        <v>43</v>
      </c>
      <c r="P21" s="7" t="s">
        <v>44</v>
      </c>
    </row>
    <row r="22" customFormat="false" ht="17.9" hidden="false" customHeight="true" outlineLevel="0" collapsed="false">
      <c r="C22" s="8" t="s">
        <v>46</v>
      </c>
      <c r="D22" s="7" t="s">
        <v>47</v>
      </c>
      <c r="F22" s="8" t="s">
        <v>48</v>
      </c>
      <c r="G22" s="7" t="s">
        <v>49</v>
      </c>
      <c r="L22" s="8" t="s">
        <v>46</v>
      </c>
      <c r="M22" s="7" t="s">
        <v>47</v>
      </c>
      <c r="N22" s="10" t="s">
        <v>50</v>
      </c>
      <c r="O22" s="8" t="s">
        <v>48</v>
      </c>
      <c r="P22" s="7" t="s">
        <v>49</v>
      </c>
    </row>
    <row r="23" customFormat="false" ht="17.9" hidden="false" customHeight="true" outlineLevel="0" collapsed="false">
      <c r="C23" s="8" t="s">
        <v>51</v>
      </c>
      <c r="D23" s="7" t="s">
        <v>52</v>
      </c>
      <c r="F23" s="8" t="s">
        <v>53</v>
      </c>
      <c r="G23" s="7" t="s">
        <v>54</v>
      </c>
      <c r="L23" s="8" t="s">
        <v>51</v>
      </c>
      <c r="M23" s="7" t="s">
        <v>52</v>
      </c>
      <c r="O23" s="8" t="s">
        <v>53</v>
      </c>
      <c r="P23" s="7" t="s">
        <v>54</v>
      </c>
    </row>
    <row r="24" customFormat="false" ht="17.9" hidden="false" customHeight="true" outlineLevel="0" collapsed="false">
      <c r="C24" s="8" t="s">
        <v>55</v>
      </c>
      <c r="D24" s="7" t="s">
        <v>56</v>
      </c>
      <c r="E24" s="0"/>
      <c r="L24" s="8" t="s">
        <v>55</v>
      </c>
      <c r="M24" s="7" t="s">
        <v>56</v>
      </c>
      <c r="N24" s="0"/>
    </row>
    <row r="26" customFormat="false" ht="17.9" hidden="false" customHeight="true" outlineLevel="0" collapsed="false">
      <c r="E26" s="11" t="n">
        <v>3</v>
      </c>
      <c r="F26" s="8" t="s">
        <v>57</v>
      </c>
      <c r="G26" s="7" t="s">
        <v>58</v>
      </c>
      <c r="N26" s="11" t="n">
        <v>3</v>
      </c>
      <c r="O26" s="8" t="s">
        <v>57</v>
      </c>
      <c r="P26" s="7" t="s">
        <v>58</v>
      </c>
    </row>
    <row r="27" customFormat="false" ht="17.9" hidden="false" customHeight="true" outlineLevel="0" collapsed="false">
      <c r="C27" s="8" t="s">
        <v>59</v>
      </c>
      <c r="D27" s="7" t="s">
        <v>60</v>
      </c>
      <c r="E27" s="11"/>
      <c r="F27" s="8" t="s">
        <v>61</v>
      </c>
      <c r="G27" s="7" t="s">
        <v>62</v>
      </c>
      <c r="L27" s="8" t="s">
        <v>59</v>
      </c>
      <c r="M27" s="7" t="s">
        <v>60</v>
      </c>
      <c r="N27" s="11"/>
      <c r="O27" s="8" t="s">
        <v>61</v>
      </c>
      <c r="P27" s="7" t="s">
        <v>62</v>
      </c>
    </row>
    <row r="28" customFormat="false" ht="17.9" hidden="false" customHeight="true" outlineLevel="0" collapsed="false">
      <c r="C28" s="8" t="s">
        <v>63</v>
      </c>
      <c r="D28" s="7" t="s">
        <v>64</v>
      </c>
      <c r="E28" s="11"/>
      <c r="F28" s="8" t="s">
        <v>65</v>
      </c>
      <c r="G28" s="7" t="s">
        <v>66</v>
      </c>
      <c r="L28" s="8" t="s">
        <v>63</v>
      </c>
      <c r="M28" s="7" t="s">
        <v>64</v>
      </c>
      <c r="N28" s="11"/>
      <c r="O28" s="8" t="s">
        <v>65</v>
      </c>
      <c r="P28" s="7" t="s">
        <v>66</v>
      </c>
    </row>
    <row r="29" customFormat="false" ht="17.9" hidden="false" customHeight="true" outlineLevel="0" collapsed="false">
      <c r="C29" s="8" t="s">
        <v>67</v>
      </c>
      <c r="D29" s="7" t="s">
        <v>68</v>
      </c>
      <c r="E29" s="11"/>
      <c r="F29" s="8" t="s">
        <v>69</v>
      </c>
      <c r="G29" s="7" t="s">
        <v>70</v>
      </c>
      <c r="L29" s="8" t="s">
        <v>67</v>
      </c>
      <c r="M29" s="7" t="s">
        <v>68</v>
      </c>
      <c r="N29" s="11"/>
      <c r="O29" s="8" t="s">
        <v>69</v>
      </c>
      <c r="P29" s="7" t="s">
        <v>70</v>
      </c>
    </row>
    <row r="30" customFormat="false" ht="17.9" hidden="false" customHeight="true" outlineLevel="0" collapsed="false">
      <c r="C30" s="8" t="s">
        <v>71</v>
      </c>
      <c r="D30" s="7" t="s">
        <v>72</v>
      </c>
      <c r="L30" s="8" t="s">
        <v>71</v>
      </c>
      <c r="M30" s="7" t="s">
        <v>72</v>
      </c>
    </row>
    <row r="31" customFormat="false" ht="17.9" hidden="false" customHeight="true" outlineLevel="0" collapsed="false">
      <c r="C31" s="8" t="s">
        <v>73</v>
      </c>
      <c r="D31" s="7" t="s">
        <v>74</v>
      </c>
      <c r="L31" s="8" t="s">
        <v>73</v>
      </c>
      <c r="M31" s="7" t="s">
        <v>74</v>
      </c>
    </row>
    <row r="32" customFormat="false" ht="17.9" hidden="false" customHeight="true" outlineLevel="0" collapsed="false">
      <c r="C32" s="8" t="s">
        <v>75</v>
      </c>
      <c r="D32" s="7" t="s">
        <v>76</v>
      </c>
      <c r="E32" s="8" t="s">
        <v>0</v>
      </c>
      <c r="F32" s="7" t="s">
        <v>77</v>
      </c>
      <c r="G32" s="7"/>
      <c r="L32" s="8" t="s">
        <v>75</v>
      </c>
      <c r="M32" s="7" t="s">
        <v>76</v>
      </c>
      <c r="N32" s="8" t="s">
        <v>0</v>
      </c>
      <c r="O32" s="7" t="s">
        <v>77</v>
      </c>
      <c r="P32" s="7"/>
    </row>
    <row r="33" customFormat="false" ht="17.9" hidden="false" customHeight="true" outlineLevel="0" collapsed="false">
      <c r="E33" s="8" t="s">
        <v>1</v>
      </c>
      <c r="F33" s="7" t="s">
        <v>78</v>
      </c>
      <c r="G33" s="7"/>
      <c r="N33" s="8" t="s">
        <v>1</v>
      </c>
      <c r="O33" s="7" t="s">
        <v>78</v>
      </c>
      <c r="P33" s="7"/>
    </row>
    <row r="34" customFormat="false" ht="17.9" hidden="false" customHeight="true" outlineLevel="0" collapsed="false">
      <c r="E34" s="8" t="s">
        <v>2</v>
      </c>
      <c r="F34" s="7" t="s">
        <v>79</v>
      </c>
      <c r="G34" s="7"/>
      <c r="N34" s="8" t="s">
        <v>2</v>
      </c>
      <c r="O34" s="7" t="s">
        <v>79</v>
      </c>
      <c r="P34" s="7"/>
    </row>
    <row r="35" customFormat="false" ht="17.9" hidden="false" customHeight="true" outlineLevel="0" collapsed="false">
      <c r="C35" s="8" t="s">
        <v>14</v>
      </c>
      <c r="D35" s="7" t="s">
        <v>55</v>
      </c>
      <c r="L35" s="8" t="s">
        <v>14</v>
      </c>
      <c r="M35" s="7" t="s">
        <v>55</v>
      </c>
    </row>
    <row r="36" customFormat="false" ht="17.9" hidden="false" customHeight="true" outlineLevel="0" collapsed="false">
      <c r="C36" s="8" t="s">
        <v>3</v>
      </c>
      <c r="D36" s="7" t="s">
        <v>73</v>
      </c>
      <c r="L36" s="8" t="s">
        <v>3</v>
      </c>
      <c r="M36" s="7" t="s">
        <v>73</v>
      </c>
    </row>
    <row r="37" customFormat="false" ht="17.9" hidden="false" customHeight="true" outlineLevel="0" collapsed="false">
      <c r="C37" s="0"/>
      <c r="D37" s="0"/>
      <c r="F37" s="0"/>
      <c r="G37" s="0"/>
      <c r="L37" s="0"/>
      <c r="M37" s="0"/>
      <c r="O37" s="0"/>
      <c r="P37" s="0"/>
    </row>
    <row r="38" customFormat="false" ht="17.9" hidden="false" customHeight="true" outlineLevel="0" collapsed="false">
      <c r="C38" s="3"/>
      <c r="D38" s="3"/>
      <c r="E38" s="3"/>
      <c r="F38" s="3"/>
      <c r="G38" s="3"/>
      <c r="L38" s="3"/>
      <c r="M38" s="3"/>
      <c r="N38" s="3"/>
      <c r="O38" s="3"/>
      <c r="P38" s="3"/>
    </row>
    <row r="40" customFormat="false" ht="17.9" hidden="false" customHeight="true" outlineLevel="0" collapsed="false">
      <c r="E40" s="4" t="n">
        <v>3</v>
      </c>
      <c r="N40" s="4" t="n">
        <v>3</v>
      </c>
    </row>
    <row r="41" customFormat="false" ht="17.9" hidden="false" customHeight="true" outlineLevel="0" collapsed="false">
      <c r="E41" s="4"/>
      <c r="N41" s="4"/>
    </row>
    <row r="42" customFormat="false" ht="17.9" hidden="false" customHeight="true" outlineLevel="0" collapsed="false">
      <c r="D42" s="5" t="s">
        <v>57</v>
      </c>
      <c r="E42" s="5" t="s">
        <v>61</v>
      </c>
      <c r="F42" s="5" t="s">
        <v>65</v>
      </c>
      <c r="H42" s="5" t="s">
        <v>69</v>
      </c>
      <c r="I42" s="5"/>
      <c r="M42" s="5" t="s">
        <v>57</v>
      </c>
      <c r="N42" s="5" t="s">
        <v>61</v>
      </c>
      <c r="O42" s="5" t="s">
        <v>65</v>
      </c>
      <c r="Q42" s="5" t="s">
        <v>69</v>
      </c>
    </row>
    <row r="43" customFormat="false" ht="17.9" hidden="false" customHeight="true" outlineLevel="0" collapsed="false">
      <c r="B43" s="4" t="n">
        <v>19</v>
      </c>
      <c r="C43" s="5" t="s">
        <v>3</v>
      </c>
      <c r="D43" s="7" t="s">
        <v>34</v>
      </c>
      <c r="E43" s="7" t="s">
        <v>38</v>
      </c>
      <c r="F43" s="7" t="s">
        <v>42</v>
      </c>
      <c r="G43" s="7"/>
      <c r="H43" s="7" t="s">
        <v>47</v>
      </c>
      <c r="I43" s="1"/>
      <c r="K43" s="4" t="n">
        <v>19</v>
      </c>
      <c r="L43" s="5" t="s">
        <v>3</v>
      </c>
      <c r="M43" s="7" t="s">
        <v>34</v>
      </c>
      <c r="N43" s="7" t="s">
        <v>38</v>
      </c>
      <c r="O43" s="7" t="s">
        <v>42</v>
      </c>
      <c r="P43" s="7"/>
      <c r="Q43" s="7" t="s">
        <v>47</v>
      </c>
    </row>
    <row r="44" customFormat="false" ht="17.9" hidden="false" customHeight="true" outlineLevel="0" collapsed="false">
      <c r="B44" s="4"/>
      <c r="C44" s="5" t="s">
        <v>14</v>
      </c>
      <c r="D44" s="7" t="s">
        <v>47</v>
      </c>
      <c r="E44" s="7" t="s">
        <v>52</v>
      </c>
      <c r="F44" s="7" t="s">
        <v>56</v>
      </c>
      <c r="G44" s="7"/>
      <c r="H44" s="7" t="s">
        <v>80</v>
      </c>
      <c r="I44" s="1"/>
      <c r="K44" s="4"/>
      <c r="L44" s="5" t="s">
        <v>14</v>
      </c>
      <c r="M44" s="7" t="s">
        <v>47</v>
      </c>
      <c r="N44" s="7" t="s">
        <v>52</v>
      </c>
      <c r="O44" s="7" t="s">
        <v>56</v>
      </c>
      <c r="P44" s="7"/>
      <c r="Q44" s="7" t="s">
        <v>80</v>
      </c>
    </row>
    <row r="46" customFormat="false" ht="17.9" hidden="false" customHeight="true" outlineLevel="0" collapsed="false">
      <c r="C46" s="3"/>
      <c r="D46" s="3"/>
      <c r="E46" s="3"/>
      <c r="F46" s="3"/>
      <c r="G46" s="3"/>
      <c r="L46" s="3"/>
      <c r="M46" s="3"/>
      <c r="N46" s="3"/>
      <c r="O46" s="3"/>
      <c r="P46" s="3"/>
    </row>
    <row r="48" customFormat="false" ht="17.9" hidden="false" customHeight="true" outlineLevel="0" collapsed="false">
      <c r="E48" s="4" t="n">
        <v>3</v>
      </c>
      <c r="N48" s="4" t="n">
        <v>3</v>
      </c>
    </row>
    <row r="49" customFormat="false" ht="17.9" hidden="false" customHeight="true" outlineLevel="0" collapsed="false">
      <c r="E49" s="4"/>
      <c r="N49" s="4"/>
    </row>
    <row r="50" customFormat="false" ht="17.9" hidden="false" customHeight="true" outlineLevel="0" collapsed="false">
      <c r="D50" s="5" t="s">
        <v>0</v>
      </c>
      <c r="E50" s="5" t="s">
        <v>1</v>
      </c>
      <c r="F50" s="5" t="s">
        <v>2</v>
      </c>
      <c r="M50" s="5" t="s">
        <v>0</v>
      </c>
      <c r="N50" s="5" t="s">
        <v>1</v>
      </c>
      <c r="O50" s="5" t="s">
        <v>2</v>
      </c>
    </row>
    <row r="51" customFormat="false" ht="17.9" hidden="false" customHeight="true" outlineLevel="0" collapsed="false">
      <c r="B51" s="4" t="n">
        <v>19</v>
      </c>
      <c r="C51" s="5" t="s">
        <v>3</v>
      </c>
      <c r="D51" s="7" t="s">
        <v>60</v>
      </c>
      <c r="E51" s="7" t="s">
        <v>64</v>
      </c>
      <c r="F51" s="7" t="s">
        <v>68</v>
      </c>
      <c r="G51" s="7"/>
      <c r="K51" s="4" t="n">
        <v>19</v>
      </c>
      <c r="L51" s="5" t="s">
        <v>3</v>
      </c>
      <c r="M51" s="7" t="s">
        <v>60</v>
      </c>
      <c r="N51" s="7" t="s">
        <v>64</v>
      </c>
      <c r="O51" s="7" t="s">
        <v>68</v>
      </c>
      <c r="P51" s="7"/>
    </row>
    <row r="52" customFormat="false" ht="17.9" hidden="false" customHeight="true" outlineLevel="0" collapsed="false">
      <c r="B52" s="4"/>
      <c r="C52" s="5" t="s">
        <v>14</v>
      </c>
      <c r="D52" s="7" t="s">
        <v>72</v>
      </c>
      <c r="E52" s="7" t="s">
        <v>74</v>
      </c>
      <c r="F52" s="7" t="s">
        <v>76</v>
      </c>
      <c r="G52" s="7"/>
      <c r="K52" s="4"/>
      <c r="L52" s="5" t="s">
        <v>14</v>
      </c>
      <c r="M52" s="7" t="s">
        <v>72</v>
      </c>
      <c r="N52" s="7" t="s">
        <v>74</v>
      </c>
      <c r="O52" s="7" t="s">
        <v>76</v>
      </c>
      <c r="P52" s="7"/>
    </row>
    <row r="54" customFormat="false" ht="17.9" hidden="false" customHeight="true" outlineLevel="0" collapsed="false">
      <c r="C54" s="3"/>
      <c r="D54" s="3"/>
      <c r="E54" s="3"/>
      <c r="F54" s="3"/>
      <c r="G54" s="3"/>
      <c r="L54" s="3"/>
      <c r="M54" s="3"/>
      <c r="N54" s="3"/>
      <c r="O54" s="3"/>
      <c r="P54" s="3"/>
    </row>
    <row r="56" customFormat="false" ht="17.9" hidden="false" customHeight="true" outlineLevel="0" collapsed="false">
      <c r="E56" s="4" t="n">
        <v>3</v>
      </c>
      <c r="N56" s="4" t="n">
        <v>3</v>
      </c>
    </row>
    <row r="57" customFormat="false" ht="17.9" hidden="false" customHeight="true" outlineLevel="0" collapsed="false">
      <c r="E57" s="4"/>
      <c r="N57" s="4"/>
    </row>
    <row r="58" customFormat="false" ht="17.9" hidden="false" customHeight="true" outlineLevel="0" collapsed="false">
      <c r="D58" s="5" t="s">
        <v>14</v>
      </c>
      <c r="E58" s="5" t="s">
        <v>3</v>
      </c>
      <c r="M58" s="5" t="s">
        <v>14</v>
      </c>
      <c r="N58" s="5" t="s">
        <v>3</v>
      </c>
    </row>
    <row r="59" customFormat="false" ht="17.9" hidden="false" customHeight="true" outlineLevel="0" collapsed="false">
      <c r="B59" s="4" t="n">
        <v>19</v>
      </c>
      <c r="C59" s="8" t="s">
        <v>3</v>
      </c>
      <c r="D59" s="7" t="s">
        <v>81</v>
      </c>
      <c r="E59" s="7" t="s">
        <v>82</v>
      </c>
      <c r="K59" s="4" t="n">
        <v>19</v>
      </c>
      <c r="L59" s="8" t="s">
        <v>3</v>
      </c>
      <c r="M59" s="7" t="s">
        <v>81</v>
      </c>
      <c r="N59" s="7" t="s">
        <v>82</v>
      </c>
    </row>
    <row r="60" customFormat="false" ht="17.9" hidden="false" customHeight="true" outlineLevel="0" collapsed="false">
      <c r="B60" s="4"/>
      <c r="C60" s="8" t="s">
        <v>14</v>
      </c>
      <c r="D60" s="7" t="s">
        <v>83</v>
      </c>
      <c r="E60" s="7" t="s">
        <v>84</v>
      </c>
      <c r="K60" s="4"/>
      <c r="L60" s="8" t="s">
        <v>14</v>
      </c>
      <c r="M60" s="7" t="s">
        <v>83</v>
      </c>
      <c r="N60" s="7" t="s">
        <v>84</v>
      </c>
    </row>
    <row r="62" customFormat="false" ht="17.9" hidden="false" customHeight="true" outlineLevel="0" collapsed="false">
      <c r="C62" s="3"/>
      <c r="D62" s="3"/>
      <c r="E62" s="3"/>
      <c r="F62" s="3"/>
      <c r="G62" s="3"/>
      <c r="L62" s="3"/>
      <c r="M62" s="3"/>
      <c r="N62" s="3"/>
      <c r="O62" s="3"/>
      <c r="P62" s="3"/>
    </row>
  </sheetData>
  <mergeCells count="44">
    <mergeCell ref="E3:E4"/>
    <mergeCell ref="N3:N4"/>
    <mergeCell ref="W3:W4"/>
    <mergeCell ref="B6:B7"/>
    <mergeCell ref="F6:G6"/>
    <mergeCell ref="K6:K7"/>
    <mergeCell ref="O6:P6"/>
    <mergeCell ref="T6:T7"/>
    <mergeCell ref="X6:Y6"/>
    <mergeCell ref="F7:G7"/>
    <mergeCell ref="O7:P7"/>
    <mergeCell ref="X7:Y7"/>
    <mergeCell ref="E11:E12"/>
    <mergeCell ref="N11:N12"/>
    <mergeCell ref="B14:B15"/>
    <mergeCell ref="K14:K15"/>
    <mergeCell ref="E26:E29"/>
    <mergeCell ref="N26:N29"/>
    <mergeCell ref="F32:G32"/>
    <mergeCell ref="O32:P32"/>
    <mergeCell ref="F33:G33"/>
    <mergeCell ref="O33:P33"/>
    <mergeCell ref="F34:G34"/>
    <mergeCell ref="O34:P34"/>
    <mergeCell ref="E40:E41"/>
    <mergeCell ref="N40:N41"/>
    <mergeCell ref="B43:B44"/>
    <mergeCell ref="F43:G43"/>
    <mergeCell ref="K43:K44"/>
    <mergeCell ref="O43:P43"/>
    <mergeCell ref="F44:G44"/>
    <mergeCell ref="O44:P44"/>
    <mergeCell ref="E48:E49"/>
    <mergeCell ref="N48:N49"/>
    <mergeCell ref="B51:B52"/>
    <mergeCell ref="F51:G51"/>
    <mergeCell ref="K51:K52"/>
    <mergeCell ref="O51:P51"/>
    <mergeCell ref="F52:G52"/>
    <mergeCell ref="O52:P52"/>
    <mergeCell ref="E56:E57"/>
    <mergeCell ref="N56:N57"/>
    <mergeCell ref="B59:B60"/>
    <mergeCell ref="K59:K60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M58"/>
  <sheetViews>
    <sheetView showFormulas="false" showGridLines="true" showRowColHeaders="true" showZeros="true" rightToLeft="false" tabSelected="false" showOutlineSymbols="true" defaultGridColor="true" view="normal" topLeftCell="FM1" colorId="64" zoomScale="90" zoomScaleNormal="90" zoomScalePageLayoutView="100" workbookViewId="0">
      <pane xSplit="0" ySplit="4" topLeftCell="A5" activePane="bottomLeft" state="frozen"/>
      <selection pane="topLeft" activeCell="FM1" activeCellId="0" sqref="FM1"/>
      <selection pane="bottomLeft" activeCell="IC2" activeCellId="0" sqref="IC2"/>
    </sheetView>
  </sheetViews>
  <sheetFormatPr defaultColWidth="3.19921875" defaultRowHeight="18.3" zeroHeight="false" outlineLevelRow="0" outlineLevelCol="0"/>
  <cols>
    <col collapsed="false" customWidth="true" hidden="false" outlineLevel="0" max="1" min="1" style="12" width="10.84"/>
    <col collapsed="false" customWidth="true" hidden="false" outlineLevel="0" max="2" min="2" style="12" width="5.56"/>
    <col collapsed="false" customWidth="true" hidden="false" outlineLevel="0" max="25" min="3" style="12" width="3.89"/>
    <col collapsed="false" customWidth="false" hidden="false" outlineLevel="0" max="193" min="26" style="12" width="3.18"/>
  </cols>
  <sheetData>
    <row r="1" customFormat="false" ht="18.3" hidden="false" customHeight="true" outlineLevel="0" collapsed="false">
      <c r="A1" s="12" t="s">
        <v>85</v>
      </c>
      <c r="B1" s="12" t="n">
        <v>7</v>
      </c>
      <c r="C1" s="12" t="n">
        <v>6</v>
      </c>
      <c r="D1" s="12" t="n">
        <v>5</v>
      </c>
      <c r="E1" s="12" t="n">
        <v>4</v>
      </c>
      <c r="F1" s="12" t="n">
        <v>3</v>
      </c>
      <c r="G1" s="12" t="n">
        <v>2</v>
      </c>
    </row>
    <row r="2" customFormat="false" ht="18.3" hidden="false" customHeight="true" outlineLevel="0" collapsed="false">
      <c r="A2" s="12" t="s">
        <v>86</v>
      </c>
      <c r="B2" s="12" t="n">
        <v>14</v>
      </c>
      <c r="C2" s="12" t="n">
        <v>18</v>
      </c>
      <c r="D2" s="12" t="n">
        <v>5</v>
      </c>
      <c r="E2" s="12" t="n">
        <v>12</v>
      </c>
      <c r="F2" s="12" t="n">
        <v>3</v>
      </c>
      <c r="G2" s="12" t="n">
        <v>2</v>
      </c>
      <c r="P2" s="10" t="s">
        <v>87</v>
      </c>
      <c r="AR2" s="10" t="s">
        <v>88</v>
      </c>
      <c r="BT2" s="10" t="s">
        <v>89</v>
      </c>
      <c r="CV2" s="10" t="s">
        <v>90</v>
      </c>
      <c r="DX2" s="10" t="s">
        <v>91</v>
      </c>
      <c r="EZ2" s="10" t="s">
        <v>92</v>
      </c>
      <c r="GB2" s="10" t="s">
        <v>93</v>
      </c>
      <c r="HE2" s="10" t="s">
        <v>94</v>
      </c>
    </row>
    <row r="3" customFormat="false" ht="18.3" hidden="false" customHeight="true" outlineLevel="0" collapsed="false">
      <c r="B3" s="0"/>
    </row>
    <row r="4" customFormat="false" ht="18.3" hidden="false" customHeight="true" outlineLevel="0" collapsed="false">
      <c r="B4" s="10" t="s">
        <v>95</v>
      </c>
      <c r="D4" s="10" t="s">
        <v>96</v>
      </c>
      <c r="E4" s="10" t="s">
        <v>97</v>
      </c>
      <c r="F4" s="10" t="s">
        <v>98</v>
      </c>
      <c r="G4" s="10" t="s">
        <v>99</v>
      </c>
      <c r="H4" s="10" t="s">
        <v>100</v>
      </c>
      <c r="I4" s="10" t="s">
        <v>101</v>
      </c>
      <c r="J4" s="13"/>
      <c r="K4" s="10" t="n">
        <v>1</v>
      </c>
      <c r="L4" s="10" t="s">
        <v>102</v>
      </c>
      <c r="M4" s="10" t="n">
        <v>2</v>
      </c>
      <c r="N4" s="10" t="s">
        <v>103</v>
      </c>
      <c r="O4" s="10" t="n">
        <v>3</v>
      </c>
      <c r="P4" s="10" t="n">
        <v>4</v>
      </c>
      <c r="Q4" s="10" t="s">
        <v>104</v>
      </c>
      <c r="R4" s="10" t="s">
        <v>105</v>
      </c>
      <c r="S4" s="10" t="n">
        <v>5</v>
      </c>
      <c r="T4" s="10" t="s">
        <v>106</v>
      </c>
      <c r="U4" s="10" t="n">
        <v>6</v>
      </c>
      <c r="V4" s="10" t="s">
        <v>107</v>
      </c>
      <c r="W4" s="10" t="n">
        <v>7</v>
      </c>
      <c r="X4" s="13"/>
      <c r="Y4" s="10" t="s">
        <v>108</v>
      </c>
      <c r="AD4" s="10" t="s">
        <v>95</v>
      </c>
      <c r="AF4" s="10" t="s">
        <v>96</v>
      </c>
      <c r="AG4" s="10" t="s">
        <v>97</v>
      </c>
      <c r="AH4" s="10" t="s">
        <v>98</v>
      </c>
      <c r="AI4" s="10" t="s">
        <v>99</v>
      </c>
      <c r="AJ4" s="10" t="s">
        <v>100</v>
      </c>
      <c r="AK4" s="10" t="s">
        <v>101</v>
      </c>
      <c r="AL4" s="13"/>
      <c r="AM4" s="10" t="n">
        <v>1</v>
      </c>
      <c r="AN4" s="10" t="s">
        <v>102</v>
      </c>
      <c r="AO4" s="10" t="n">
        <v>2</v>
      </c>
      <c r="AP4" s="10" t="s">
        <v>103</v>
      </c>
      <c r="AQ4" s="10" t="n">
        <v>3</v>
      </c>
      <c r="AR4" s="10" t="n">
        <v>4</v>
      </c>
      <c r="AS4" s="10" t="s">
        <v>104</v>
      </c>
      <c r="AT4" s="10" t="s">
        <v>105</v>
      </c>
      <c r="AU4" s="10" t="n">
        <v>5</v>
      </c>
      <c r="AV4" s="10" t="s">
        <v>106</v>
      </c>
      <c r="AW4" s="10" t="n">
        <v>6</v>
      </c>
      <c r="AX4" s="10" t="s">
        <v>107</v>
      </c>
      <c r="AY4" s="10" t="n">
        <v>7</v>
      </c>
      <c r="AZ4" s="13"/>
      <c r="BA4" s="10" t="s">
        <v>108</v>
      </c>
      <c r="BF4" s="10" t="s">
        <v>95</v>
      </c>
      <c r="BH4" s="10" t="s">
        <v>96</v>
      </c>
      <c r="BI4" s="10" t="s">
        <v>97</v>
      </c>
      <c r="BJ4" s="10" t="s">
        <v>98</v>
      </c>
      <c r="BK4" s="10" t="s">
        <v>99</v>
      </c>
      <c r="BL4" s="10" t="s">
        <v>100</v>
      </c>
      <c r="BM4" s="10" t="s">
        <v>101</v>
      </c>
      <c r="BN4" s="13"/>
      <c r="BO4" s="10" t="n">
        <v>1</v>
      </c>
      <c r="BP4" s="10" t="s">
        <v>102</v>
      </c>
      <c r="BQ4" s="10" t="n">
        <v>2</v>
      </c>
      <c r="BR4" s="10" t="s">
        <v>103</v>
      </c>
      <c r="BS4" s="10" t="n">
        <v>3</v>
      </c>
      <c r="BT4" s="10" t="n">
        <v>4</v>
      </c>
      <c r="BU4" s="10" t="s">
        <v>104</v>
      </c>
      <c r="BV4" s="10" t="s">
        <v>105</v>
      </c>
      <c r="BW4" s="10" t="n">
        <v>5</v>
      </c>
      <c r="BX4" s="10" t="s">
        <v>106</v>
      </c>
      <c r="BY4" s="10" t="n">
        <v>6</v>
      </c>
      <c r="BZ4" s="10" t="s">
        <v>107</v>
      </c>
      <c r="CA4" s="10" t="n">
        <v>7</v>
      </c>
      <c r="CB4" s="13"/>
      <c r="CC4" s="10" t="s">
        <v>108</v>
      </c>
      <c r="CH4" s="10" t="s">
        <v>95</v>
      </c>
      <c r="CJ4" s="10" t="s">
        <v>96</v>
      </c>
      <c r="CK4" s="10" t="s">
        <v>97</v>
      </c>
      <c r="CL4" s="10" t="s">
        <v>98</v>
      </c>
      <c r="CM4" s="10" t="s">
        <v>99</v>
      </c>
      <c r="CN4" s="10" t="s">
        <v>100</v>
      </c>
      <c r="CO4" s="10" t="s">
        <v>101</v>
      </c>
      <c r="CP4" s="13"/>
      <c r="CQ4" s="10" t="n">
        <v>1</v>
      </c>
      <c r="CR4" s="10" t="s">
        <v>102</v>
      </c>
      <c r="CS4" s="10" t="n">
        <v>2</v>
      </c>
      <c r="CT4" s="10" t="s">
        <v>103</v>
      </c>
      <c r="CU4" s="10" t="n">
        <v>3</v>
      </c>
      <c r="CV4" s="10" t="n">
        <v>4</v>
      </c>
      <c r="CW4" s="10" t="s">
        <v>104</v>
      </c>
      <c r="CX4" s="10" t="s">
        <v>105</v>
      </c>
      <c r="CY4" s="10" t="n">
        <v>5</v>
      </c>
      <c r="CZ4" s="10" t="s">
        <v>106</v>
      </c>
      <c r="DA4" s="10" t="n">
        <v>6</v>
      </c>
      <c r="DB4" s="10" t="s">
        <v>107</v>
      </c>
      <c r="DC4" s="10" t="n">
        <v>7</v>
      </c>
      <c r="DD4" s="13"/>
      <c r="DE4" s="10" t="s">
        <v>108</v>
      </c>
      <c r="DJ4" s="10" t="s">
        <v>95</v>
      </c>
      <c r="DL4" s="10" t="s">
        <v>96</v>
      </c>
      <c r="DM4" s="10" t="s">
        <v>97</v>
      </c>
      <c r="DN4" s="10" t="s">
        <v>98</v>
      </c>
      <c r="DO4" s="10" t="s">
        <v>99</v>
      </c>
      <c r="DP4" s="10" t="s">
        <v>100</v>
      </c>
      <c r="DQ4" s="10" t="s">
        <v>101</v>
      </c>
      <c r="DR4" s="13"/>
      <c r="DS4" s="10" t="n">
        <v>1</v>
      </c>
      <c r="DT4" s="10" t="s">
        <v>102</v>
      </c>
      <c r="DU4" s="10" t="n">
        <v>2</v>
      </c>
      <c r="DV4" s="10" t="s">
        <v>103</v>
      </c>
      <c r="DW4" s="10" t="n">
        <v>3</v>
      </c>
      <c r="DX4" s="10" t="n">
        <v>4</v>
      </c>
      <c r="DY4" s="10" t="s">
        <v>104</v>
      </c>
      <c r="DZ4" s="10" t="s">
        <v>105</v>
      </c>
      <c r="EA4" s="10" t="n">
        <v>5</v>
      </c>
      <c r="EB4" s="10" t="s">
        <v>106</v>
      </c>
      <c r="EC4" s="10" t="n">
        <v>6</v>
      </c>
      <c r="ED4" s="10" t="s">
        <v>107</v>
      </c>
      <c r="EE4" s="10" t="n">
        <v>7</v>
      </c>
      <c r="EF4" s="13"/>
      <c r="EG4" s="10" t="s">
        <v>108</v>
      </c>
      <c r="EL4" s="10" t="s">
        <v>95</v>
      </c>
      <c r="EN4" s="10" t="s">
        <v>96</v>
      </c>
      <c r="EO4" s="10" t="s">
        <v>97</v>
      </c>
      <c r="EP4" s="10" t="s">
        <v>98</v>
      </c>
      <c r="EQ4" s="10" t="s">
        <v>99</v>
      </c>
      <c r="ER4" s="10" t="s">
        <v>100</v>
      </c>
      <c r="ES4" s="10" t="s">
        <v>101</v>
      </c>
      <c r="ET4" s="13"/>
      <c r="EU4" s="10" t="n">
        <v>1</v>
      </c>
      <c r="EV4" s="10" t="s">
        <v>102</v>
      </c>
      <c r="EW4" s="10" t="n">
        <v>2</v>
      </c>
      <c r="EX4" s="10" t="s">
        <v>103</v>
      </c>
      <c r="EY4" s="10" t="n">
        <v>3</v>
      </c>
      <c r="EZ4" s="10" t="n">
        <v>4</v>
      </c>
      <c r="FA4" s="10" t="s">
        <v>104</v>
      </c>
      <c r="FB4" s="10" t="s">
        <v>105</v>
      </c>
      <c r="FC4" s="10" t="n">
        <v>5</v>
      </c>
      <c r="FD4" s="10" t="s">
        <v>106</v>
      </c>
      <c r="FE4" s="10" t="n">
        <v>6</v>
      </c>
      <c r="FF4" s="10" t="s">
        <v>107</v>
      </c>
      <c r="FG4" s="10" t="n">
        <v>7</v>
      </c>
      <c r="FH4" s="13"/>
      <c r="FI4" s="10" t="s">
        <v>108</v>
      </c>
      <c r="FN4" s="10" t="s">
        <v>95</v>
      </c>
      <c r="FP4" s="10" t="s">
        <v>96</v>
      </c>
      <c r="FQ4" s="10" t="s">
        <v>97</v>
      </c>
      <c r="FR4" s="10" t="s">
        <v>98</v>
      </c>
      <c r="FS4" s="10" t="s">
        <v>99</v>
      </c>
      <c r="FT4" s="10" t="s">
        <v>100</v>
      </c>
      <c r="FU4" s="10" t="s">
        <v>101</v>
      </c>
      <c r="FV4" s="13"/>
      <c r="FW4" s="10" t="n">
        <v>1</v>
      </c>
      <c r="FX4" s="10" t="s">
        <v>102</v>
      </c>
      <c r="FY4" s="10" t="n">
        <v>2</v>
      </c>
      <c r="FZ4" s="10" t="s">
        <v>103</v>
      </c>
      <c r="GA4" s="10" t="n">
        <v>3</v>
      </c>
      <c r="GB4" s="10" t="n">
        <v>4</v>
      </c>
      <c r="GC4" s="10" t="s">
        <v>104</v>
      </c>
      <c r="GD4" s="10" t="s">
        <v>105</v>
      </c>
      <c r="GE4" s="10" t="n">
        <v>5</v>
      </c>
      <c r="GF4" s="10" t="s">
        <v>106</v>
      </c>
      <c r="GG4" s="10" t="n">
        <v>6</v>
      </c>
      <c r="GH4" s="10" t="s">
        <v>107</v>
      </c>
      <c r="GI4" s="10" t="n">
        <v>7</v>
      </c>
      <c r="GJ4" s="13"/>
      <c r="GK4" s="10" t="s">
        <v>108</v>
      </c>
      <c r="GP4" s="10" t="s">
        <v>95</v>
      </c>
      <c r="GQ4" s="12"/>
      <c r="GR4" s="10" t="s">
        <v>96</v>
      </c>
      <c r="GS4" s="10" t="s">
        <v>97</v>
      </c>
      <c r="GT4" s="10" t="s">
        <v>98</v>
      </c>
      <c r="GU4" s="10" t="s">
        <v>99</v>
      </c>
      <c r="GV4" s="10" t="s">
        <v>100</v>
      </c>
      <c r="GW4" s="10" t="s">
        <v>101</v>
      </c>
      <c r="GX4" s="13"/>
      <c r="GY4" s="10" t="n">
        <v>1</v>
      </c>
      <c r="GZ4" s="10" t="s">
        <v>102</v>
      </c>
      <c r="HA4" s="10" t="n">
        <v>2</v>
      </c>
      <c r="HB4" s="10" t="s">
        <v>103</v>
      </c>
      <c r="HC4" s="10" t="n">
        <v>3</v>
      </c>
      <c r="HD4" s="10" t="n">
        <v>4</v>
      </c>
      <c r="HE4" s="10" t="s">
        <v>104</v>
      </c>
      <c r="HF4" s="10" t="s">
        <v>105</v>
      </c>
      <c r="HG4" s="10" t="n">
        <v>5</v>
      </c>
      <c r="HH4" s="10" t="s">
        <v>106</v>
      </c>
      <c r="HI4" s="10" t="n">
        <v>6</v>
      </c>
      <c r="HJ4" s="10" t="s">
        <v>107</v>
      </c>
      <c r="HK4" s="10" t="n">
        <v>7</v>
      </c>
      <c r="HL4" s="13"/>
      <c r="HM4" s="10" t="s">
        <v>108</v>
      </c>
    </row>
    <row r="5" customFormat="false" ht="18.3" hidden="false" customHeight="true" outlineLevel="0" collapsed="false">
      <c r="B5" s="12" t="n">
        <v>1</v>
      </c>
      <c r="D5" s="12" t="n">
        <v>3</v>
      </c>
      <c r="E5" s="12" t="n">
        <v>0</v>
      </c>
      <c r="F5" s="12" t="n">
        <v>0</v>
      </c>
      <c r="G5" s="12" t="n">
        <v>0</v>
      </c>
      <c r="H5" s="12" t="n">
        <v>0</v>
      </c>
      <c r="I5" s="12" t="n">
        <v>1</v>
      </c>
      <c r="J5" s="13"/>
      <c r="K5" s="12" t="n">
        <v>1</v>
      </c>
      <c r="M5" s="12" t="n">
        <v>1</v>
      </c>
      <c r="O5" s="12" t="n">
        <v>1</v>
      </c>
      <c r="Q5" s="12" t="n">
        <v>1</v>
      </c>
      <c r="S5" s="12" t="n">
        <v>1</v>
      </c>
      <c r="U5" s="12" t="n">
        <v>1</v>
      </c>
      <c r="W5" s="12" t="n">
        <v>1</v>
      </c>
      <c r="X5" s="13"/>
      <c r="Y5" s="12" t="n">
        <f aca="false">COUNT(K5:W5)</f>
        <v>7</v>
      </c>
      <c r="AD5" s="12" t="n">
        <v>1</v>
      </c>
      <c r="AF5" s="12" t="n">
        <v>3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1</v>
      </c>
      <c r="AL5" s="13"/>
      <c r="AM5" s="12" t="n">
        <v>1</v>
      </c>
      <c r="AO5" s="12" t="n">
        <v>1</v>
      </c>
      <c r="AQ5" s="12" t="n">
        <v>1</v>
      </c>
      <c r="AS5" s="12" t="n">
        <v>1</v>
      </c>
      <c r="AU5" s="12" t="n">
        <v>1</v>
      </c>
      <c r="AW5" s="12" t="n">
        <v>1</v>
      </c>
      <c r="AY5" s="12" t="n">
        <v>1</v>
      </c>
      <c r="AZ5" s="13"/>
      <c r="BA5" s="12" t="n">
        <f aca="false">COUNT(AM5:AY5)</f>
        <v>7</v>
      </c>
      <c r="BF5" s="12" t="n">
        <v>1</v>
      </c>
      <c r="BH5" s="12" t="n">
        <v>3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1</v>
      </c>
      <c r="BN5" s="13"/>
      <c r="BO5" s="12" t="n">
        <v>1</v>
      </c>
      <c r="BQ5" s="12" t="n">
        <v>1</v>
      </c>
      <c r="BS5" s="12" t="n">
        <v>1</v>
      </c>
      <c r="BU5" s="12" t="n">
        <v>1</v>
      </c>
      <c r="BW5" s="12" t="n">
        <v>1</v>
      </c>
      <c r="BY5" s="12" t="n">
        <v>1</v>
      </c>
      <c r="CA5" s="12" t="n">
        <v>1</v>
      </c>
      <c r="CB5" s="13"/>
      <c r="CC5" s="12" t="n">
        <f aca="false">COUNT(BO5:CA5)</f>
        <v>7</v>
      </c>
      <c r="CH5" s="12" t="n">
        <v>1</v>
      </c>
      <c r="CJ5" s="12" t="n">
        <v>3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1</v>
      </c>
      <c r="CP5" s="13"/>
      <c r="CQ5" s="12" t="n">
        <v>1</v>
      </c>
      <c r="CS5" s="12" t="n">
        <v>1</v>
      </c>
      <c r="CU5" s="12" t="n">
        <v>1</v>
      </c>
      <c r="CW5" s="12" t="n">
        <v>1</v>
      </c>
      <c r="CY5" s="12" t="n">
        <v>1</v>
      </c>
      <c r="DA5" s="12" t="n">
        <v>1</v>
      </c>
      <c r="DC5" s="12" t="n">
        <v>1</v>
      </c>
      <c r="DD5" s="13"/>
      <c r="DE5" s="12" t="n">
        <f aca="false">COUNT(CQ5:DC5)</f>
        <v>7</v>
      </c>
      <c r="DJ5" s="12" t="n">
        <v>1</v>
      </c>
      <c r="DL5" s="12" t="n">
        <v>3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1</v>
      </c>
      <c r="DR5" s="13"/>
      <c r="DS5" s="12" t="n">
        <v>1</v>
      </c>
      <c r="DU5" s="12" t="n">
        <v>1</v>
      </c>
      <c r="DW5" s="12" t="n">
        <v>1</v>
      </c>
      <c r="DY5" s="12" t="n">
        <v>1</v>
      </c>
      <c r="EA5" s="12" t="n">
        <v>1</v>
      </c>
      <c r="EC5" s="12" t="n">
        <v>1</v>
      </c>
      <c r="EE5" s="12" t="n">
        <v>1</v>
      </c>
      <c r="EF5" s="13"/>
      <c r="EG5" s="12" t="n">
        <f aca="false">COUNT(DS5:EE5)</f>
        <v>7</v>
      </c>
      <c r="EL5" s="12" t="n">
        <v>1</v>
      </c>
      <c r="EN5" s="12" t="n">
        <v>3</v>
      </c>
      <c r="EO5" s="12" t="n">
        <v>0</v>
      </c>
      <c r="EP5" s="12" t="n">
        <v>0</v>
      </c>
      <c r="EQ5" s="12" t="n">
        <v>0</v>
      </c>
      <c r="ER5" s="12" t="n">
        <v>0</v>
      </c>
      <c r="ES5" s="12" t="n">
        <v>1</v>
      </c>
      <c r="ET5" s="13"/>
      <c r="EU5" s="12" t="n">
        <v>1</v>
      </c>
      <c r="EW5" s="12" t="n">
        <v>1</v>
      </c>
      <c r="EY5" s="12" t="n">
        <v>1</v>
      </c>
      <c r="FA5" s="12" t="n">
        <v>1</v>
      </c>
      <c r="FC5" s="12" t="n">
        <v>1</v>
      </c>
      <c r="FE5" s="12" t="n">
        <v>1</v>
      </c>
      <c r="FG5" s="12" t="n">
        <v>1</v>
      </c>
      <c r="FH5" s="13"/>
      <c r="FI5" s="12" t="n">
        <f aca="false">COUNT(EU5:FG5)</f>
        <v>7</v>
      </c>
      <c r="FN5" s="12" t="n">
        <v>3</v>
      </c>
      <c r="FP5" s="12" t="n">
        <v>2</v>
      </c>
      <c r="FQ5" s="12" t="n">
        <v>0</v>
      </c>
      <c r="FR5" s="12" t="n">
        <v>1</v>
      </c>
      <c r="FS5" s="12" t="n">
        <v>0</v>
      </c>
      <c r="FT5" s="12" t="n">
        <v>0</v>
      </c>
      <c r="FU5" s="12" t="n">
        <v>0</v>
      </c>
      <c r="FV5" s="13"/>
      <c r="FW5" s="12" t="n">
        <v>1</v>
      </c>
      <c r="FY5" s="12" t="n">
        <v>1</v>
      </c>
      <c r="GA5" s="12" t="n">
        <v>1</v>
      </c>
      <c r="GC5" s="12" t="n">
        <v>1</v>
      </c>
      <c r="GE5" s="12" t="n">
        <v>1</v>
      </c>
      <c r="GI5" s="12" t="n">
        <v>1</v>
      </c>
      <c r="GJ5" s="13"/>
      <c r="GK5" s="12" t="n">
        <f aca="false">COUNT(FW5:GI5)</f>
        <v>6</v>
      </c>
      <c r="GP5" s="12" t="n">
        <v>2</v>
      </c>
      <c r="GQ5" s="12"/>
      <c r="GR5" s="12" t="n">
        <v>6</v>
      </c>
      <c r="GS5" s="12" t="n">
        <v>0</v>
      </c>
      <c r="GT5" s="12" t="n">
        <v>0</v>
      </c>
      <c r="GU5" s="12" t="n">
        <v>0</v>
      </c>
      <c r="GV5" s="12" t="n">
        <v>0</v>
      </c>
      <c r="GW5" s="12" t="n">
        <v>0</v>
      </c>
      <c r="GX5" s="13"/>
      <c r="GY5" s="12" t="n">
        <v>1</v>
      </c>
      <c r="GZ5" s="12"/>
      <c r="HA5" s="12" t="n">
        <v>1</v>
      </c>
      <c r="HB5" s="12"/>
      <c r="HC5" s="12" t="n">
        <v>1</v>
      </c>
      <c r="HD5" s="12"/>
      <c r="HE5" s="12" t="n">
        <v>1</v>
      </c>
      <c r="HF5" s="12"/>
      <c r="HG5" s="12" t="n">
        <v>1</v>
      </c>
      <c r="HH5" s="12"/>
      <c r="HI5" s="12" t="n">
        <v>1</v>
      </c>
      <c r="HJ5" s="12"/>
      <c r="HK5" s="12" t="n">
        <v>1</v>
      </c>
      <c r="HL5" s="13"/>
      <c r="HM5" s="12" t="n">
        <f aca="false">COUNT(GY5:HK5)</f>
        <v>7</v>
      </c>
    </row>
    <row r="6" customFormat="false" ht="18.3" hidden="false" customHeight="true" outlineLevel="0" collapsed="false">
      <c r="B6" s="12" t="n">
        <v>2</v>
      </c>
      <c r="D6" s="12" t="n">
        <v>6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3"/>
      <c r="K6" s="12" t="n">
        <v>1</v>
      </c>
      <c r="M6" s="12" t="n">
        <v>1</v>
      </c>
      <c r="O6" s="12" t="n">
        <v>1</v>
      </c>
      <c r="Q6" s="12" t="n">
        <v>1</v>
      </c>
      <c r="S6" s="12" t="n">
        <v>1</v>
      </c>
      <c r="U6" s="12" t="n">
        <v>1</v>
      </c>
      <c r="W6" s="12" t="n">
        <v>1</v>
      </c>
      <c r="X6" s="13"/>
      <c r="Y6" s="12" t="n">
        <f aca="false">COUNT(K6:W6)</f>
        <v>7</v>
      </c>
      <c r="AD6" s="12" t="n">
        <v>2</v>
      </c>
      <c r="AF6" s="12" t="n">
        <v>6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3"/>
      <c r="AM6" s="12" t="n">
        <v>1</v>
      </c>
      <c r="AO6" s="12" t="n">
        <v>1</v>
      </c>
      <c r="AQ6" s="12" t="n">
        <v>1</v>
      </c>
      <c r="AS6" s="12" t="n">
        <v>1</v>
      </c>
      <c r="AU6" s="12" t="n">
        <v>1</v>
      </c>
      <c r="AW6" s="12" t="n">
        <v>1</v>
      </c>
      <c r="AY6" s="12" t="n">
        <v>1</v>
      </c>
      <c r="AZ6" s="13"/>
      <c r="BA6" s="12" t="n">
        <f aca="false">COUNT(AM6:AY6)</f>
        <v>7</v>
      </c>
      <c r="BF6" s="12" t="n">
        <v>2</v>
      </c>
      <c r="BH6" s="12" t="n">
        <v>6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3"/>
      <c r="BO6" s="12" t="n">
        <v>1</v>
      </c>
      <c r="BQ6" s="12" t="n">
        <v>1</v>
      </c>
      <c r="BS6" s="12" t="n">
        <v>1</v>
      </c>
      <c r="BU6" s="12" t="n">
        <v>1</v>
      </c>
      <c r="BW6" s="12" t="n">
        <v>1</v>
      </c>
      <c r="BY6" s="12" t="n">
        <v>1</v>
      </c>
      <c r="CA6" s="12" t="n">
        <v>1</v>
      </c>
      <c r="CB6" s="13"/>
      <c r="CC6" s="12" t="n">
        <f aca="false">COUNT(BO6:CA6)</f>
        <v>7</v>
      </c>
      <c r="CH6" s="12" t="n">
        <v>2</v>
      </c>
      <c r="CJ6" s="12" t="n">
        <v>6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3"/>
      <c r="CQ6" s="12" t="n">
        <v>1</v>
      </c>
      <c r="CS6" s="12" t="n">
        <v>1</v>
      </c>
      <c r="CU6" s="12" t="n">
        <v>1</v>
      </c>
      <c r="CW6" s="12" t="n">
        <v>1</v>
      </c>
      <c r="CY6" s="12" t="n">
        <v>1</v>
      </c>
      <c r="DA6" s="12" t="n">
        <v>1</v>
      </c>
      <c r="DC6" s="12" t="n">
        <v>1</v>
      </c>
      <c r="DD6" s="13"/>
      <c r="DE6" s="12" t="n">
        <f aca="false">COUNT(CQ6:DC6)</f>
        <v>7</v>
      </c>
      <c r="DJ6" s="12" t="n">
        <v>2</v>
      </c>
      <c r="DL6" s="12" t="n">
        <v>6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3"/>
      <c r="DS6" s="12" t="n">
        <v>1</v>
      </c>
      <c r="DU6" s="12" t="n">
        <v>1</v>
      </c>
      <c r="DW6" s="12" t="n">
        <v>1</v>
      </c>
      <c r="DY6" s="12" t="n">
        <v>1</v>
      </c>
      <c r="EA6" s="12" t="n">
        <v>1</v>
      </c>
      <c r="EC6" s="12" t="n">
        <v>1</v>
      </c>
      <c r="EE6" s="12" t="n">
        <v>1</v>
      </c>
      <c r="EF6" s="13"/>
      <c r="EG6" s="12" t="n">
        <f aca="false">COUNT(DS6:EE6)</f>
        <v>7</v>
      </c>
      <c r="EL6" s="12" t="n">
        <v>2</v>
      </c>
      <c r="EN6" s="12" t="n">
        <v>6</v>
      </c>
      <c r="EO6" s="12" t="n">
        <v>0</v>
      </c>
      <c r="EP6" s="12" t="n">
        <v>0</v>
      </c>
      <c r="EQ6" s="12" t="n">
        <v>0</v>
      </c>
      <c r="ER6" s="12" t="n">
        <v>0</v>
      </c>
      <c r="ES6" s="12" t="n">
        <v>0</v>
      </c>
      <c r="ET6" s="13"/>
      <c r="EU6" s="12" t="n">
        <v>1</v>
      </c>
      <c r="EW6" s="12" t="n">
        <v>1</v>
      </c>
      <c r="EY6" s="12" t="n">
        <v>1</v>
      </c>
      <c r="FA6" s="12" t="n">
        <v>1</v>
      </c>
      <c r="FC6" s="12" t="n">
        <v>1</v>
      </c>
      <c r="FE6" s="12" t="n">
        <v>1</v>
      </c>
      <c r="FG6" s="12" t="n">
        <v>1</v>
      </c>
      <c r="FH6" s="13"/>
      <c r="FI6" s="12" t="n">
        <f aca="false">COUNT(EU6:FG6)</f>
        <v>7</v>
      </c>
      <c r="FN6" s="12" t="n">
        <v>6</v>
      </c>
      <c r="FP6" s="12" t="n">
        <v>2</v>
      </c>
      <c r="FQ6" s="12" t="n">
        <v>0</v>
      </c>
      <c r="FR6" s="12" t="n">
        <v>0</v>
      </c>
      <c r="FS6" s="12" t="n">
        <v>0</v>
      </c>
      <c r="FT6" s="12" t="n">
        <v>0</v>
      </c>
      <c r="FU6" s="12" t="n">
        <v>1</v>
      </c>
      <c r="FV6" s="13"/>
      <c r="FW6" s="12" t="n">
        <v>1</v>
      </c>
      <c r="FY6" s="12" t="n">
        <v>1</v>
      </c>
      <c r="GA6" s="12" t="n">
        <v>1</v>
      </c>
      <c r="GE6" s="12" t="n">
        <v>1</v>
      </c>
      <c r="GG6" s="12" t="n">
        <v>1</v>
      </c>
      <c r="GI6" s="12" t="n">
        <v>1</v>
      </c>
      <c r="GJ6" s="13"/>
      <c r="GK6" s="12" t="n">
        <f aca="false">COUNT(FW6:GI6)</f>
        <v>6</v>
      </c>
      <c r="GP6" s="12" t="n">
        <v>3</v>
      </c>
      <c r="GQ6" s="12"/>
      <c r="GR6" s="12" t="n">
        <v>2</v>
      </c>
      <c r="GS6" s="12" t="n">
        <v>0</v>
      </c>
      <c r="GT6" s="12" t="n">
        <v>1</v>
      </c>
      <c r="GU6" s="12" t="n">
        <v>0</v>
      </c>
      <c r="GV6" s="12" t="n">
        <v>0</v>
      </c>
      <c r="GW6" s="12" t="n">
        <v>0</v>
      </c>
      <c r="GX6" s="13"/>
      <c r="GY6" s="12" t="n">
        <v>1</v>
      </c>
      <c r="GZ6" s="12"/>
      <c r="HA6" s="12" t="n">
        <v>1</v>
      </c>
      <c r="HB6" s="12"/>
      <c r="HC6" s="12" t="n">
        <v>1</v>
      </c>
      <c r="HD6" s="12"/>
      <c r="HE6" s="12" t="n">
        <v>1</v>
      </c>
      <c r="HF6" s="12"/>
      <c r="HG6" s="12" t="n">
        <v>1</v>
      </c>
      <c r="HH6" s="12"/>
      <c r="HI6" s="12"/>
      <c r="HJ6" s="12"/>
      <c r="HK6" s="12" t="n">
        <v>1</v>
      </c>
      <c r="HL6" s="13"/>
      <c r="HM6" s="12" t="n">
        <f aca="false">COUNT(GY6:HK6)</f>
        <v>6</v>
      </c>
    </row>
    <row r="7" customFormat="false" ht="18.3" hidden="false" customHeight="true" outlineLevel="0" collapsed="false">
      <c r="B7" s="12" t="n">
        <v>3</v>
      </c>
      <c r="D7" s="12" t="n">
        <v>2</v>
      </c>
      <c r="E7" s="12" t="n">
        <v>0</v>
      </c>
      <c r="F7" s="12" t="n">
        <v>1</v>
      </c>
      <c r="G7" s="12" t="n">
        <v>0</v>
      </c>
      <c r="H7" s="12" t="n">
        <v>0</v>
      </c>
      <c r="I7" s="12" t="n">
        <v>0</v>
      </c>
      <c r="J7" s="13"/>
      <c r="K7" s="12" t="n">
        <v>1</v>
      </c>
      <c r="M7" s="12" t="n">
        <v>1</v>
      </c>
      <c r="O7" s="12" t="n">
        <v>1</v>
      </c>
      <c r="Q7" s="12" t="n">
        <v>1</v>
      </c>
      <c r="S7" s="12" t="n">
        <v>1</v>
      </c>
      <c r="W7" s="12" t="n">
        <v>1</v>
      </c>
      <c r="X7" s="13"/>
      <c r="Y7" s="12" t="n">
        <f aca="false">COUNT(K7:W7)</f>
        <v>6</v>
      </c>
      <c r="AD7" s="12" t="n">
        <v>3</v>
      </c>
      <c r="AF7" s="12" t="n">
        <v>2</v>
      </c>
      <c r="AG7" s="12" t="n">
        <v>0</v>
      </c>
      <c r="AH7" s="12" t="n">
        <v>1</v>
      </c>
      <c r="AI7" s="12" t="n">
        <v>0</v>
      </c>
      <c r="AJ7" s="12" t="n">
        <v>0</v>
      </c>
      <c r="AK7" s="12" t="n">
        <v>0</v>
      </c>
      <c r="AL7" s="13"/>
      <c r="AM7" s="12" t="n">
        <v>1</v>
      </c>
      <c r="AO7" s="12" t="n">
        <v>1</v>
      </c>
      <c r="AQ7" s="12" t="n">
        <v>1</v>
      </c>
      <c r="AS7" s="12" t="n">
        <v>1</v>
      </c>
      <c r="AU7" s="12" t="n">
        <v>1</v>
      </c>
      <c r="AY7" s="12" t="n">
        <v>1</v>
      </c>
      <c r="AZ7" s="13"/>
      <c r="BA7" s="12" t="n">
        <f aca="false">COUNT(AM7:AY7)</f>
        <v>6</v>
      </c>
      <c r="BF7" s="12" t="n">
        <v>3</v>
      </c>
      <c r="BH7" s="12" t="n">
        <v>2</v>
      </c>
      <c r="BI7" s="12" t="n">
        <v>0</v>
      </c>
      <c r="BJ7" s="12" t="n">
        <v>1</v>
      </c>
      <c r="BK7" s="12" t="n">
        <v>0</v>
      </c>
      <c r="BL7" s="12" t="n">
        <v>0</v>
      </c>
      <c r="BM7" s="12" t="n">
        <v>0</v>
      </c>
      <c r="BN7" s="13"/>
      <c r="BO7" s="12" t="n">
        <v>1</v>
      </c>
      <c r="BQ7" s="12" t="n">
        <v>1</v>
      </c>
      <c r="BS7" s="12" t="n">
        <v>1</v>
      </c>
      <c r="BU7" s="12" t="n">
        <v>1</v>
      </c>
      <c r="BW7" s="12" t="n">
        <v>1</v>
      </c>
      <c r="CA7" s="12" t="n">
        <v>1</v>
      </c>
      <c r="CB7" s="13"/>
      <c r="CC7" s="12" t="n">
        <f aca="false">COUNT(BO7:CA7)</f>
        <v>6</v>
      </c>
      <c r="CH7" s="12" t="n">
        <v>3</v>
      </c>
      <c r="CJ7" s="12" t="n">
        <v>2</v>
      </c>
      <c r="CK7" s="12" t="n">
        <v>0</v>
      </c>
      <c r="CL7" s="12" t="n">
        <v>1</v>
      </c>
      <c r="CM7" s="12" t="n">
        <v>0</v>
      </c>
      <c r="CN7" s="12" t="n">
        <v>0</v>
      </c>
      <c r="CO7" s="12" t="n">
        <v>0</v>
      </c>
      <c r="CP7" s="13"/>
      <c r="CQ7" s="12" t="n">
        <v>1</v>
      </c>
      <c r="CS7" s="12" t="n">
        <v>1</v>
      </c>
      <c r="CU7" s="12" t="n">
        <v>1</v>
      </c>
      <c r="CW7" s="12" t="n">
        <v>1</v>
      </c>
      <c r="CY7" s="12" t="n">
        <v>1</v>
      </c>
      <c r="DC7" s="12" t="n">
        <v>1</v>
      </c>
      <c r="DD7" s="13"/>
      <c r="DE7" s="12" t="n">
        <f aca="false">COUNT(CQ7:DC7)</f>
        <v>6</v>
      </c>
      <c r="DJ7" s="12" t="n">
        <v>3</v>
      </c>
      <c r="DL7" s="12" t="n">
        <v>2</v>
      </c>
      <c r="DM7" s="12" t="n">
        <v>0</v>
      </c>
      <c r="DN7" s="12" t="n">
        <v>1</v>
      </c>
      <c r="DO7" s="12" t="n">
        <v>0</v>
      </c>
      <c r="DP7" s="12" t="n">
        <v>0</v>
      </c>
      <c r="DQ7" s="12" t="n">
        <v>0</v>
      </c>
      <c r="DR7" s="13"/>
      <c r="DS7" s="12" t="n">
        <v>1</v>
      </c>
      <c r="DU7" s="12" t="n">
        <v>1</v>
      </c>
      <c r="DW7" s="12" t="n">
        <v>1</v>
      </c>
      <c r="DY7" s="12" t="n">
        <v>1</v>
      </c>
      <c r="EA7" s="12" t="n">
        <v>1</v>
      </c>
      <c r="EE7" s="12" t="n">
        <v>1</v>
      </c>
      <c r="EF7" s="13"/>
      <c r="EG7" s="12" t="n">
        <f aca="false">COUNT(DS7:EE7)</f>
        <v>6</v>
      </c>
      <c r="EL7" s="12" t="n">
        <v>4</v>
      </c>
      <c r="EN7" s="12" t="n">
        <v>2</v>
      </c>
      <c r="EO7" s="12" t="n">
        <v>1</v>
      </c>
      <c r="EP7" s="12" t="n">
        <v>0</v>
      </c>
      <c r="EQ7" s="12" t="n">
        <v>0</v>
      </c>
      <c r="ER7" s="12" t="n">
        <v>0</v>
      </c>
      <c r="ES7" s="12" t="n">
        <v>1</v>
      </c>
      <c r="ET7" s="13"/>
      <c r="EU7" s="12" t="n">
        <v>1</v>
      </c>
      <c r="EW7" s="12" t="n">
        <v>1</v>
      </c>
      <c r="EY7" s="12" t="n">
        <v>1</v>
      </c>
      <c r="EZ7" s="12" t="n">
        <v>1</v>
      </c>
      <c r="FC7" s="12" t="n">
        <v>1</v>
      </c>
      <c r="FE7" s="12" t="n">
        <v>1</v>
      </c>
      <c r="FG7" s="12" t="n">
        <v>1</v>
      </c>
      <c r="FH7" s="13"/>
      <c r="FI7" s="12" t="n">
        <f aca="false">COUNT(EU7:FG7)</f>
        <v>7</v>
      </c>
      <c r="FN7" s="12" t="n">
        <v>7</v>
      </c>
      <c r="FP7" s="12" t="n">
        <v>5</v>
      </c>
      <c r="FQ7" s="12" t="n">
        <v>0</v>
      </c>
      <c r="FR7" s="12" t="n">
        <v>0</v>
      </c>
      <c r="FS7" s="12" t="n">
        <v>0</v>
      </c>
      <c r="FT7" s="12" t="n">
        <v>0</v>
      </c>
      <c r="FU7" s="12" t="n">
        <v>0</v>
      </c>
      <c r="FV7" s="13"/>
      <c r="FW7" s="12" t="n">
        <v>1</v>
      </c>
      <c r="FY7" s="12" t="n">
        <v>1</v>
      </c>
      <c r="GA7" s="12" t="n">
        <v>1</v>
      </c>
      <c r="GE7" s="12" t="n">
        <v>1</v>
      </c>
      <c r="GG7" s="12" t="n">
        <v>1</v>
      </c>
      <c r="GI7" s="12" t="n">
        <v>1</v>
      </c>
      <c r="GJ7" s="13"/>
      <c r="GK7" s="12" t="n">
        <f aca="false">COUNT(FW7:GI7)</f>
        <v>6</v>
      </c>
      <c r="GP7" s="12" t="n">
        <v>5</v>
      </c>
      <c r="GQ7" s="12"/>
      <c r="GR7" s="12" t="n">
        <v>5</v>
      </c>
      <c r="GS7" s="12" t="n">
        <v>1</v>
      </c>
      <c r="GT7" s="12" t="n">
        <v>0</v>
      </c>
      <c r="GU7" s="12" t="n">
        <v>0</v>
      </c>
      <c r="GV7" s="12" t="n">
        <v>0</v>
      </c>
      <c r="GW7" s="12" t="n">
        <v>0</v>
      </c>
      <c r="GX7" s="13"/>
      <c r="GY7" s="12" t="n">
        <v>1</v>
      </c>
      <c r="GZ7" s="12"/>
      <c r="HA7" s="12" t="n">
        <v>1</v>
      </c>
      <c r="HB7" s="12"/>
      <c r="HC7" s="12" t="n">
        <v>1</v>
      </c>
      <c r="HD7" s="12" t="n">
        <v>1</v>
      </c>
      <c r="HE7" s="12"/>
      <c r="HF7" s="12"/>
      <c r="HG7" s="12" t="n">
        <v>1</v>
      </c>
      <c r="HH7" s="12"/>
      <c r="HI7" s="12" t="n">
        <v>1</v>
      </c>
      <c r="HJ7" s="12"/>
      <c r="HK7" s="12" t="n">
        <v>1</v>
      </c>
      <c r="HL7" s="13"/>
      <c r="HM7" s="12" t="n">
        <f aca="false">COUNT(GY7:HK7)</f>
        <v>7</v>
      </c>
    </row>
    <row r="8" customFormat="false" ht="18.3" hidden="false" customHeight="true" outlineLevel="0" collapsed="false">
      <c r="B8" s="12" t="n">
        <v>4</v>
      </c>
      <c r="D8" s="12" t="n">
        <v>2</v>
      </c>
      <c r="E8" s="12" t="n">
        <v>1</v>
      </c>
      <c r="F8" s="12" t="n">
        <v>0</v>
      </c>
      <c r="G8" s="12" t="n">
        <v>0</v>
      </c>
      <c r="H8" s="12" t="n">
        <v>0</v>
      </c>
      <c r="I8" s="12" t="n">
        <v>1</v>
      </c>
      <c r="J8" s="13"/>
      <c r="K8" s="12" t="n">
        <v>1</v>
      </c>
      <c r="M8" s="12" t="n">
        <v>1</v>
      </c>
      <c r="O8" s="12" t="n">
        <v>1</v>
      </c>
      <c r="P8" s="12" t="n">
        <v>1</v>
      </c>
      <c r="S8" s="12" t="n">
        <v>1</v>
      </c>
      <c r="U8" s="12" t="n">
        <v>1</v>
      </c>
      <c r="W8" s="12" t="n">
        <v>1</v>
      </c>
      <c r="X8" s="13"/>
      <c r="Y8" s="12" t="n">
        <f aca="false">COUNT(K8:W8)</f>
        <v>7</v>
      </c>
      <c r="AD8" s="12" t="n">
        <v>4</v>
      </c>
      <c r="AF8" s="12" t="n">
        <v>2</v>
      </c>
      <c r="AG8" s="12" t="n">
        <v>1</v>
      </c>
      <c r="AH8" s="12" t="n">
        <v>0</v>
      </c>
      <c r="AI8" s="12" t="n">
        <v>0</v>
      </c>
      <c r="AJ8" s="12" t="n">
        <v>0</v>
      </c>
      <c r="AK8" s="12" t="n">
        <v>1</v>
      </c>
      <c r="AL8" s="13"/>
      <c r="AM8" s="12" t="n">
        <v>1</v>
      </c>
      <c r="AO8" s="12" t="n">
        <v>1</v>
      </c>
      <c r="AQ8" s="12" t="n">
        <v>1</v>
      </c>
      <c r="AR8" s="12" t="n">
        <v>1</v>
      </c>
      <c r="AU8" s="12" t="n">
        <v>1</v>
      </c>
      <c r="AW8" s="12" t="n">
        <v>1</v>
      </c>
      <c r="AY8" s="12" t="n">
        <v>1</v>
      </c>
      <c r="AZ8" s="13"/>
      <c r="BA8" s="12" t="n">
        <f aca="false">COUNT(AM8:AY8)</f>
        <v>7</v>
      </c>
      <c r="BF8" s="12" t="n">
        <v>4</v>
      </c>
      <c r="BH8" s="12" t="n">
        <v>2</v>
      </c>
      <c r="BI8" s="12" t="n">
        <v>1</v>
      </c>
      <c r="BJ8" s="12" t="n">
        <v>0</v>
      </c>
      <c r="BK8" s="12" t="n">
        <v>0</v>
      </c>
      <c r="BL8" s="12" t="n">
        <v>0</v>
      </c>
      <c r="BM8" s="12" t="n">
        <v>1</v>
      </c>
      <c r="BN8" s="13"/>
      <c r="BO8" s="12" t="n">
        <v>1</v>
      </c>
      <c r="BQ8" s="12" t="n">
        <v>1</v>
      </c>
      <c r="BS8" s="12" t="n">
        <v>1</v>
      </c>
      <c r="BT8" s="12" t="n">
        <v>1</v>
      </c>
      <c r="BW8" s="12" t="n">
        <v>1</v>
      </c>
      <c r="BY8" s="12" t="n">
        <v>1</v>
      </c>
      <c r="CA8" s="12" t="n">
        <v>1</v>
      </c>
      <c r="CB8" s="13"/>
      <c r="CC8" s="12" t="n">
        <f aca="false">COUNT(BO8:CA8)</f>
        <v>7</v>
      </c>
      <c r="CH8" s="12" t="n">
        <v>4</v>
      </c>
      <c r="CJ8" s="12" t="n">
        <v>2</v>
      </c>
      <c r="CK8" s="12" t="n">
        <v>1</v>
      </c>
      <c r="CL8" s="12" t="n">
        <v>0</v>
      </c>
      <c r="CM8" s="12" t="n">
        <v>0</v>
      </c>
      <c r="CN8" s="12" t="n">
        <v>0</v>
      </c>
      <c r="CO8" s="12" t="n">
        <v>1</v>
      </c>
      <c r="CP8" s="13"/>
      <c r="CQ8" s="12" t="n">
        <v>1</v>
      </c>
      <c r="CS8" s="12" t="n">
        <v>1</v>
      </c>
      <c r="CU8" s="12" t="n">
        <v>1</v>
      </c>
      <c r="CV8" s="12" t="n">
        <v>1</v>
      </c>
      <c r="CY8" s="12" t="n">
        <v>1</v>
      </c>
      <c r="DA8" s="12" t="n">
        <v>1</v>
      </c>
      <c r="DC8" s="12" t="n">
        <v>1</v>
      </c>
      <c r="DD8" s="13"/>
      <c r="DE8" s="12" t="n">
        <f aca="false">COUNT(CQ8:DC8)</f>
        <v>7</v>
      </c>
      <c r="DJ8" s="12" t="n">
        <v>4</v>
      </c>
      <c r="DL8" s="12" t="n">
        <v>2</v>
      </c>
      <c r="DM8" s="12" t="n">
        <v>1</v>
      </c>
      <c r="DN8" s="12" t="n">
        <v>0</v>
      </c>
      <c r="DO8" s="12" t="n">
        <v>0</v>
      </c>
      <c r="DP8" s="12" t="n">
        <v>0</v>
      </c>
      <c r="DQ8" s="12" t="n">
        <v>1</v>
      </c>
      <c r="DR8" s="13"/>
      <c r="DS8" s="12" t="n">
        <v>1</v>
      </c>
      <c r="DU8" s="12" t="n">
        <v>1</v>
      </c>
      <c r="DW8" s="12" t="n">
        <v>1</v>
      </c>
      <c r="DX8" s="12" t="n">
        <v>1</v>
      </c>
      <c r="EA8" s="12" t="n">
        <v>1</v>
      </c>
      <c r="EC8" s="12" t="n">
        <v>1</v>
      </c>
      <c r="EE8" s="12" t="n">
        <v>1</v>
      </c>
      <c r="EF8" s="13"/>
      <c r="EG8" s="12" t="n">
        <f aca="false">COUNT(DS8:EE8)</f>
        <v>7</v>
      </c>
      <c r="EL8" s="12" t="n">
        <v>5</v>
      </c>
      <c r="EN8" s="12" t="n">
        <v>5</v>
      </c>
      <c r="EO8" s="12" t="n">
        <v>1</v>
      </c>
      <c r="EP8" s="12" t="n">
        <v>0</v>
      </c>
      <c r="EQ8" s="12" t="n">
        <v>0</v>
      </c>
      <c r="ER8" s="12" t="n">
        <v>0</v>
      </c>
      <c r="ES8" s="12" t="n">
        <v>0</v>
      </c>
      <c r="ET8" s="13"/>
      <c r="EU8" s="12" t="n">
        <v>1</v>
      </c>
      <c r="EW8" s="12" t="n">
        <v>1</v>
      </c>
      <c r="EY8" s="12" t="n">
        <v>1</v>
      </c>
      <c r="EZ8" s="12" t="n">
        <v>1</v>
      </c>
      <c r="FC8" s="12" t="n">
        <v>1</v>
      </c>
      <c r="FE8" s="12" t="n">
        <v>1</v>
      </c>
      <c r="FG8" s="12" t="n">
        <v>1</v>
      </c>
      <c r="FH8" s="13"/>
      <c r="FI8" s="12" t="n">
        <f aca="false">COUNT(EU8:FG8)</f>
        <v>7</v>
      </c>
      <c r="FN8" s="12" t="n">
        <v>8</v>
      </c>
      <c r="FP8" s="12" t="n">
        <v>1</v>
      </c>
      <c r="FQ8" s="12" t="n">
        <v>1</v>
      </c>
      <c r="FR8" s="12" t="n">
        <v>1</v>
      </c>
      <c r="FS8" s="12" t="n">
        <v>0</v>
      </c>
      <c r="FT8" s="12" t="n">
        <v>0</v>
      </c>
      <c r="FU8" s="12" t="n">
        <v>0</v>
      </c>
      <c r="FV8" s="13"/>
      <c r="FW8" s="12" t="n">
        <v>1</v>
      </c>
      <c r="GA8" s="12" t="n">
        <v>1</v>
      </c>
      <c r="GB8" s="12" t="n">
        <v>1</v>
      </c>
      <c r="GE8" s="12" t="n">
        <v>1</v>
      </c>
      <c r="GG8" s="12" t="n">
        <v>1</v>
      </c>
      <c r="GI8" s="12" t="n">
        <v>1</v>
      </c>
      <c r="GJ8" s="13"/>
      <c r="GK8" s="12" t="n">
        <f aca="false">COUNT(FW8:GI8)</f>
        <v>6</v>
      </c>
      <c r="GP8" s="12" t="n">
        <v>7</v>
      </c>
      <c r="GQ8" s="12"/>
      <c r="GR8" s="12" t="n">
        <v>5</v>
      </c>
      <c r="GS8" s="12" t="n">
        <v>0</v>
      </c>
      <c r="GT8" s="12" t="n">
        <v>0</v>
      </c>
      <c r="GU8" s="12" t="n">
        <v>0</v>
      </c>
      <c r="GV8" s="12" t="n">
        <v>0</v>
      </c>
      <c r="GW8" s="12" t="n">
        <v>0</v>
      </c>
      <c r="GX8" s="13"/>
      <c r="GY8" s="12" t="n">
        <v>1</v>
      </c>
      <c r="GZ8" s="12"/>
      <c r="HA8" s="12" t="n">
        <v>1</v>
      </c>
      <c r="HB8" s="12"/>
      <c r="HC8" s="12" t="n">
        <v>1</v>
      </c>
      <c r="HD8" s="12"/>
      <c r="HE8" s="12"/>
      <c r="HF8" s="12"/>
      <c r="HG8" s="12" t="n">
        <v>1</v>
      </c>
      <c r="HH8" s="12"/>
      <c r="HI8" s="12" t="n">
        <v>1</v>
      </c>
      <c r="HJ8" s="12"/>
      <c r="HK8" s="12" t="n">
        <v>1</v>
      </c>
      <c r="HL8" s="13"/>
      <c r="HM8" s="12" t="n">
        <f aca="false">COUNT(GY8:HK8)</f>
        <v>6</v>
      </c>
    </row>
    <row r="9" customFormat="false" ht="18.3" hidden="false" customHeight="true" outlineLevel="0" collapsed="false">
      <c r="B9" s="12" t="n">
        <v>5</v>
      </c>
      <c r="D9" s="12" t="n">
        <v>5</v>
      </c>
      <c r="E9" s="12" t="n">
        <v>1</v>
      </c>
      <c r="F9" s="12" t="n">
        <v>0</v>
      </c>
      <c r="G9" s="12" t="n">
        <v>0</v>
      </c>
      <c r="H9" s="12" t="n">
        <v>0</v>
      </c>
      <c r="I9" s="12" t="n">
        <v>0</v>
      </c>
      <c r="J9" s="13"/>
      <c r="K9" s="12" t="n">
        <v>1</v>
      </c>
      <c r="M9" s="12" t="n">
        <v>1</v>
      </c>
      <c r="O9" s="12" t="n">
        <v>1</v>
      </c>
      <c r="P9" s="12" t="n">
        <v>1</v>
      </c>
      <c r="S9" s="12" t="n">
        <v>1</v>
      </c>
      <c r="U9" s="12" t="n">
        <v>1</v>
      </c>
      <c r="W9" s="12" t="n">
        <v>1</v>
      </c>
      <c r="X9" s="13"/>
      <c r="Y9" s="12" t="n">
        <f aca="false">COUNT(K9:W9)</f>
        <v>7</v>
      </c>
      <c r="AD9" s="12" t="n">
        <v>5</v>
      </c>
      <c r="AF9" s="12" t="n">
        <v>5</v>
      </c>
      <c r="AG9" s="12" t="n">
        <v>1</v>
      </c>
      <c r="AH9" s="12" t="n">
        <v>0</v>
      </c>
      <c r="AI9" s="12" t="n">
        <v>0</v>
      </c>
      <c r="AJ9" s="12" t="n">
        <v>0</v>
      </c>
      <c r="AK9" s="12" t="n">
        <v>0</v>
      </c>
      <c r="AL9" s="13"/>
      <c r="AM9" s="12" t="n">
        <v>1</v>
      </c>
      <c r="AO9" s="12" t="n">
        <v>1</v>
      </c>
      <c r="AQ9" s="12" t="n">
        <v>1</v>
      </c>
      <c r="AR9" s="12" t="n">
        <v>1</v>
      </c>
      <c r="AU9" s="12" t="n">
        <v>1</v>
      </c>
      <c r="AW9" s="12" t="n">
        <v>1</v>
      </c>
      <c r="AY9" s="12" t="n">
        <v>1</v>
      </c>
      <c r="AZ9" s="13"/>
      <c r="BA9" s="12" t="n">
        <f aca="false">COUNT(AM9:AY9)</f>
        <v>7</v>
      </c>
      <c r="BF9" s="12" t="n">
        <v>5</v>
      </c>
      <c r="BH9" s="12" t="n">
        <v>5</v>
      </c>
      <c r="BI9" s="12" t="n">
        <v>1</v>
      </c>
      <c r="BJ9" s="12" t="n">
        <v>0</v>
      </c>
      <c r="BK9" s="12" t="n">
        <v>0</v>
      </c>
      <c r="BL9" s="12" t="n">
        <v>0</v>
      </c>
      <c r="BM9" s="12" t="n">
        <v>0</v>
      </c>
      <c r="BN9" s="13"/>
      <c r="BO9" s="12" t="n">
        <v>1</v>
      </c>
      <c r="BQ9" s="12" t="n">
        <v>1</v>
      </c>
      <c r="BS9" s="12" t="n">
        <v>1</v>
      </c>
      <c r="BT9" s="12" t="n">
        <v>1</v>
      </c>
      <c r="BW9" s="12" t="n">
        <v>1</v>
      </c>
      <c r="BY9" s="12" t="n">
        <v>1</v>
      </c>
      <c r="CA9" s="12" t="n">
        <v>1</v>
      </c>
      <c r="CB9" s="13"/>
      <c r="CC9" s="12" t="n">
        <f aca="false">COUNT(BO9:CA9)</f>
        <v>7</v>
      </c>
      <c r="CH9" s="12" t="n">
        <v>5</v>
      </c>
      <c r="CJ9" s="12" t="n">
        <v>5</v>
      </c>
      <c r="CK9" s="12" t="n">
        <v>1</v>
      </c>
      <c r="CL9" s="12" t="n">
        <v>0</v>
      </c>
      <c r="CM9" s="12" t="n">
        <v>0</v>
      </c>
      <c r="CN9" s="12" t="n">
        <v>0</v>
      </c>
      <c r="CO9" s="12" t="n">
        <v>0</v>
      </c>
      <c r="CP9" s="13"/>
      <c r="CQ9" s="12" t="n">
        <v>1</v>
      </c>
      <c r="CS9" s="12" t="n">
        <v>1</v>
      </c>
      <c r="CU9" s="12" t="n">
        <v>1</v>
      </c>
      <c r="CV9" s="12" t="n">
        <v>1</v>
      </c>
      <c r="CY9" s="12" t="n">
        <v>1</v>
      </c>
      <c r="DA9" s="12" t="n">
        <v>1</v>
      </c>
      <c r="DC9" s="12" t="n">
        <v>1</v>
      </c>
      <c r="DD9" s="13"/>
      <c r="DE9" s="12" t="n">
        <f aca="false">COUNT(CQ9:DC9)</f>
        <v>7</v>
      </c>
      <c r="DJ9" s="12" t="n">
        <v>5</v>
      </c>
      <c r="DL9" s="12" t="n">
        <v>5</v>
      </c>
      <c r="DM9" s="12" t="n">
        <v>1</v>
      </c>
      <c r="DN9" s="12" t="n">
        <v>0</v>
      </c>
      <c r="DO9" s="12" t="n">
        <v>0</v>
      </c>
      <c r="DP9" s="12" t="n">
        <v>0</v>
      </c>
      <c r="DQ9" s="12" t="n">
        <v>0</v>
      </c>
      <c r="DR9" s="13"/>
      <c r="DS9" s="12" t="n">
        <v>1</v>
      </c>
      <c r="DU9" s="12" t="n">
        <v>1</v>
      </c>
      <c r="DW9" s="12" t="n">
        <v>1</v>
      </c>
      <c r="DX9" s="12" t="n">
        <v>1</v>
      </c>
      <c r="EA9" s="12" t="n">
        <v>1</v>
      </c>
      <c r="EC9" s="12" t="n">
        <v>1</v>
      </c>
      <c r="EE9" s="12" t="n">
        <v>1</v>
      </c>
      <c r="EF9" s="13"/>
      <c r="EG9" s="12" t="n">
        <f aca="false">COUNT(DS9:EE9)</f>
        <v>7</v>
      </c>
      <c r="EL9" s="12" t="n">
        <v>10</v>
      </c>
      <c r="EN9" s="12" t="n">
        <v>1</v>
      </c>
      <c r="EO9" s="12" t="n">
        <v>2</v>
      </c>
      <c r="EP9" s="12" t="n">
        <v>0</v>
      </c>
      <c r="EQ9" s="12" t="n">
        <v>0</v>
      </c>
      <c r="ER9" s="12" t="n">
        <v>0</v>
      </c>
      <c r="ES9" s="12" t="n">
        <v>1</v>
      </c>
      <c r="ET9" s="13"/>
      <c r="EU9" s="12" t="n">
        <v>1</v>
      </c>
      <c r="EW9" s="12" t="n">
        <v>1</v>
      </c>
      <c r="EY9" s="12" t="n">
        <v>1</v>
      </c>
      <c r="EZ9" s="12" t="n">
        <v>1</v>
      </c>
      <c r="FC9" s="12" t="n">
        <v>1</v>
      </c>
      <c r="FE9" s="12" t="n">
        <v>1</v>
      </c>
      <c r="FF9" s="12" t="n">
        <v>1</v>
      </c>
      <c r="FH9" s="13"/>
      <c r="FI9" s="12" t="n">
        <f aca="false">COUNT(EU9:FG9)</f>
        <v>7</v>
      </c>
      <c r="FN9" s="12" t="n">
        <v>9</v>
      </c>
      <c r="FP9" s="12" t="n">
        <v>1</v>
      </c>
      <c r="FQ9" s="12" t="n">
        <v>0</v>
      </c>
      <c r="FR9" s="12" t="n">
        <v>1</v>
      </c>
      <c r="FS9" s="12" t="n">
        <v>0</v>
      </c>
      <c r="FT9" s="12" t="n">
        <v>0</v>
      </c>
      <c r="FU9" s="12" t="n">
        <v>0</v>
      </c>
      <c r="FV9" s="13"/>
      <c r="FW9" s="12" t="n">
        <v>1</v>
      </c>
      <c r="GA9" s="12" t="n">
        <v>1</v>
      </c>
      <c r="GE9" s="12" t="n">
        <v>1</v>
      </c>
      <c r="GI9" s="12" t="n">
        <v>1</v>
      </c>
      <c r="GJ9" s="13"/>
      <c r="GK9" s="12" t="n">
        <f aca="false">COUNT(FW9:GI9)</f>
        <v>4</v>
      </c>
      <c r="GP9" s="12" t="n">
        <v>8</v>
      </c>
      <c r="GQ9" s="12"/>
      <c r="GR9" s="12" t="n">
        <v>1</v>
      </c>
      <c r="GS9" s="12" t="n">
        <v>1</v>
      </c>
      <c r="GT9" s="12" t="n">
        <v>1</v>
      </c>
      <c r="GU9" s="12" t="n">
        <v>0</v>
      </c>
      <c r="GV9" s="12" t="n">
        <v>0</v>
      </c>
      <c r="GW9" s="12" t="n">
        <v>0</v>
      </c>
      <c r="GX9" s="13"/>
      <c r="GY9" s="12" t="n">
        <v>1</v>
      </c>
      <c r="GZ9" s="12"/>
      <c r="HA9" s="12"/>
      <c r="HB9" s="12"/>
      <c r="HC9" s="12" t="n">
        <v>1</v>
      </c>
      <c r="HD9" s="12" t="n">
        <v>1</v>
      </c>
      <c r="HE9" s="12"/>
      <c r="HF9" s="12"/>
      <c r="HG9" s="12" t="n">
        <v>1</v>
      </c>
      <c r="HH9" s="12"/>
      <c r="HI9" s="12" t="n">
        <v>1</v>
      </c>
      <c r="HJ9" s="12"/>
      <c r="HK9" s="12" t="n">
        <v>1</v>
      </c>
      <c r="HL9" s="13"/>
      <c r="HM9" s="12" t="n">
        <f aca="false">COUNT(GY9:HK9)</f>
        <v>6</v>
      </c>
    </row>
    <row r="10" customFormat="false" ht="18.3" hidden="false" customHeight="true" outlineLevel="0" collapsed="false">
      <c r="B10" s="12" t="n">
        <v>6</v>
      </c>
      <c r="D10" s="12" t="n">
        <v>2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1</v>
      </c>
      <c r="J10" s="13"/>
      <c r="K10" s="12" t="n">
        <v>1</v>
      </c>
      <c r="M10" s="12" t="n">
        <v>1</v>
      </c>
      <c r="O10" s="12" t="n">
        <v>1</v>
      </c>
      <c r="S10" s="12" t="n">
        <v>1</v>
      </c>
      <c r="U10" s="12" t="n">
        <v>1</v>
      </c>
      <c r="W10" s="12" t="n">
        <v>1</v>
      </c>
      <c r="X10" s="13"/>
      <c r="Y10" s="12" t="n">
        <f aca="false">COUNT(K10:W10)</f>
        <v>6</v>
      </c>
      <c r="AD10" s="12" t="n">
        <v>6</v>
      </c>
      <c r="AF10" s="12" t="n">
        <v>2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1</v>
      </c>
      <c r="AL10" s="13"/>
      <c r="AM10" s="12" t="n">
        <v>1</v>
      </c>
      <c r="AO10" s="12" t="n">
        <v>1</v>
      </c>
      <c r="AQ10" s="12" t="n">
        <v>1</v>
      </c>
      <c r="AU10" s="12" t="n">
        <v>1</v>
      </c>
      <c r="AW10" s="12" t="n">
        <v>1</v>
      </c>
      <c r="AY10" s="12" t="n">
        <v>1</v>
      </c>
      <c r="AZ10" s="13"/>
      <c r="BA10" s="12" t="n">
        <f aca="false">COUNT(AM10:AY10)</f>
        <v>6</v>
      </c>
      <c r="BF10" s="12" t="n">
        <v>6</v>
      </c>
      <c r="BH10" s="12" t="n">
        <v>2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1</v>
      </c>
      <c r="BN10" s="13"/>
      <c r="BO10" s="12" t="n">
        <v>1</v>
      </c>
      <c r="BQ10" s="12" t="n">
        <v>1</v>
      </c>
      <c r="BS10" s="12" t="n">
        <v>1</v>
      </c>
      <c r="BW10" s="12" t="n">
        <v>1</v>
      </c>
      <c r="BY10" s="12" t="n">
        <v>1</v>
      </c>
      <c r="CA10" s="12" t="n">
        <v>1</v>
      </c>
      <c r="CB10" s="13"/>
      <c r="CC10" s="12" t="n">
        <f aca="false">COUNT(BO10:CA10)</f>
        <v>6</v>
      </c>
      <c r="CH10" s="12" t="n">
        <v>6</v>
      </c>
      <c r="CJ10" s="12" t="n">
        <v>2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1</v>
      </c>
      <c r="CP10" s="13"/>
      <c r="CQ10" s="12" t="n">
        <v>1</v>
      </c>
      <c r="CS10" s="12" t="n">
        <v>1</v>
      </c>
      <c r="CU10" s="12" t="n">
        <v>1</v>
      </c>
      <c r="CY10" s="12" t="n">
        <v>1</v>
      </c>
      <c r="DA10" s="12" t="n">
        <v>1</v>
      </c>
      <c r="DC10" s="12" t="n">
        <v>1</v>
      </c>
      <c r="DD10" s="13"/>
      <c r="DE10" s="12" t="n">
        <f aca="false">COUNT(CQ10:DC10)</f>
        <v>6</v>
      </c>
      <c r="DJ10" s="12" t="n">
        <v>6</v>
      </c>
      <c r="DL10" s="12" t="n">
        <v>2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1</v>
      </c>
      <c r="DR10" s="13"/>
      <c r="DS10" s="12" t="n">
        <v>1</v>
      </c>
      <c r="DU10" s="12" t="n">
        <v>1</v>
      </c>
      <c r="DW10" s="12" t="n">
        <v>1</v>
      </c>
      <c r="EA10" s="12" t="n">
        <v>1</v>
      </c>
      <c r="EC10" s="12" t="n">
        <v>1</v>
      </c>
      <c r="EE10" s="12" t="n">
        <v>1</v>
      </c>
      <c r="EF10" s="13"/>
      <c r="EG10" s="12" t="n">
        <f aca="false">COUNT(DS10:EE10)</f>
        <v>6</v>
      </c>
      <c r="EL10" s="12" t="n">
        <v>11</v>
      </c>
      <c r="EN10" s="12" t="n">
        <v>4</v>
      </c>
      <c r="EO10" s="12" t="n">
        <v>2</v>
      </c>
      <c r="EP10" s="12" t="n">
        <v>0</v>
      </c>
      <c r="EQ10" s="12" t="n">
        <v>0</v>
      </c>
      <c r="ER10" s="12" t="n">
        <v>0</v>
      </c>
      <c r="ES10" s="12" t="n">
        <v>0</v>
      </c>
      <c r="ET10" s="13"/>
      <c r="EU10" s="12" t="n">
        <v>1</v>
      </c>
      <c r="EW10" s="12" t="n">
        <v>1</v>
      </c>
      <c r="EY10" s="12" t="n">
        <v>1</v>
      </c>
      <c r="EZ10" s="12" t="n">
        <v>1</v>
      </c>
      <c r="FC10" s="12" t="n">
        <v>1</v>
      </c>
      <c r="FE10" s="12" t="n">
        <v>1</v>
      </c>
      <c r="FF10" s="12" t="n">
        <v>1</v>
      </c>
      <c r="FH10" s="13"/>
      <c r="FI10" s="12" t="n">
        <f aca="false">COUNT(EU10:FG10)</f>
        <v>7</v>
      </c>
      <c r="FN10" s="12" t="n">
        <v>12</v>
      </c>
      <c r="FP10" s="12" t="n">
        <v>1</v>
      </c>
      <c r="FQ10" s="12" t="n">
        <v>1</v>
      </c>
      <c r="FR10" s="12" t="n">
        <v>0</v>
      </c>
      <c r="FS10" s="12" t="n">
        <v>0</v>
      </c>
      <c r="FT10" s="12" t="n">
        <v>0</v>
      </c>
      <c r="FU10" s="12" t="n">
        <v>1</v>
      </c>
      <c r="FV10" s="13"/>
      <c r="FW10" s="12" t="n">
        <v>1</v>
      </c>
      <c r="FY10" s="12" t="n">
        <v>1</v>
      </c>
      <c r="GA10" s="12" t="n">
        <v>1</v>
      </c>
      <c r="GB10" s="12" t="n">
        <v>1</v>
      </c>
      <c r="GE10" s="12" t="n">
        <v>1</v>
      </c>
      <c r="GG10" s="12" t="n">
        <v>1</v>
      </c>
      <c r="GJ10" s="13"/>
      <c r="GK10" s="12" t="n">
        <f aca="false">COUNT(FW10:GI10)</f>
        <v>6</v>
      </c>
      <c r="GP10" s="12" t="n">
        <v>9</v>
      </c>
      <c r="GQ10" s="12"/>
      <c r="GR10" s="12" t="n">
        <v>1</v>
      </c>
      <c r="GS10" s="12" t="n">
        <v>0</v>
      </c>
      <c r="GT10" s="12" t="n">
        <v>1</v>
      </c>
      <c r="GU10" s="12" t="n">
        <v>0</v>
      </c>
      <c r="GV10" s="12" t="n">
        <v>0</v>
      </c>
      <c r="GW10" s="12" t="n">
        <v>0</v>
      </c>
      <c r="GX10" s="13"/>
      <c r="GY10" s="12" t="n">
        <v>1</v>
      </c>
      <c r="GZ10" s="12"/>
      <c r="HA10" s="12"/>
      <c r="HB10" s="12"/>
      <c r="HC10" s="12" t="n">
        <v>1</v>
      </c>
      <c r="HD10" s="12"/>
      <c r="HE10" s="12"/>
      <c r="HF10" s="12"/>
      <c r="HG10" s="12" t="n">
        <v>1</v>
      </c>
      <c r="HH10" s="12"/>
      <c r="HI10" s="12"/>
      <c r="HJ10" s="12"/>
      <c r="HK10" s="12" t="n">
        <v>1</v>
      </c>
      <c r="HL10" s="13"/>
      <c r="HM10" s="12" t="n">
        <f aca="false">COUNT(GY10:HK10)</f>
        <v>4</v>
      </c>
    </row>
    <row r="11" customFormat="false" ht="18.3" hidden="false" customHeight="true" outlineLevel="0" collapsed="false">
      <c r="B11" s="12" t="n">
        <v>7</v>
      </c>
      <c r="D11" s="12" t="n">
        <v>5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3"/>
      <c r="K11" s="12" t="n">
        <v>1</v>
      </c>
      <c r="M11" s="12" t="n">
        <v>1</v>
      </c>
      <c r="O11" s="12" t="n">
        <v>1</v>
      </c>
      <c r="S11" s="12" t="n">
        <v>1</v>
      </c>
      <c r="U11" s="12" t="n">
        <v>1</v>
      </c>
      <c r="W11" s="12" t="n">
        <v>1</v>
      </c>
      <c r="X11" s="13"/>
      <c r="Y11" s="12" t="n">
        <f aca="false">COUNT(K11:W11)</f>
        <v>6</v>
      </c>
      <c r="AD11" s="12" t="n">
        <v>7</v>
      </c>
      <c r="AF11" s="12" t="n">
        <v>5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3"/>
      <c r="AM11" s="12" t="n">
        <v>1</v>
      </c>
      <c r="AO11" s="12" t="n">
        <v>1</v>
      </c>
      <c r="AQ11" s="12" t="n">
        <v>1</v>
      </c>
      <c r="AU11" s="12" t="n">
        <v>1</v>
      </c>
      <c r="AW11" s="12" t="n">
        <v>1</v>
      </c>
      <c r="AY11" s="12" t="n">
        <v>1</v>
      </c>
      <c r="AZ11" s="13"/>
      <c r="BA11" s="12" t="n">
        <f aca="false">COUNT(AM11:AY11)</f>
        <v>6</v>
      </c>
      <c r="BF11" s="12" t="n">
        <v>7</v>
      </c>
      <c r="BH11" s="12" t="n">
        <v>5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3"/>
      <c r="BO11" s="12" t="n">
        <v>1</v>
      </c>
      <c r="BQ11" s="12" t="n">
        <v>1</v>
      </c>
      <c r="BS11" s="12" t="n">
        <v>1</v>
      </c>
      <c r="BW11" s="12" t="n">
        <v>1</v>
      </c>
      <c r="BY11" s="12" t="n">
        <v>1</v>
      </c>
      <c r="CA11" s="12" t="n">
        <v>1</v>
      </c>
      <c r="CB11" s="13"/>
      <c r="CC11" s="12" t="n">
        <f aca="false">COUNT(BO11:CA11)</f>
        <v>6</v>
      </c>
      <c r="CH11" s="12" t="n">
        <v>7</v>
      </c>
      <c r="CJ11" s="12" t="n">
        <v>5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3"/>
      <c r="CQ11" s="12" t="n">
        <v>1</v>
      </c>
      <c r="CS11" s="12" t="n">
        <v>1</v>
      </c>
      <c r="CU11" s="12" t="n">
        <v>1</v>
      </c>
      <c r="CY11" s="12" t="n">
        <v>1</v>
      </c>
      <c r="DA11" s="12" t="n">
        <v>1</v>
      </c>
      <c r="DC11" s="12" t="n">
        <v>1</v>
      </c>
      <c r="DD11" s="13"/>
      <c r="DE11" s="12" t="n">
        <f aca="false">COUNT(CQ11:DC11)</f>
        <v>6</v>
      </c>
      <c r="DJ11" s="12" t="n">
        <v>7</v>
      </c>
      <c r="DL11" s="12" t="n">
        <v>5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3"/>
      <c r="DS11" s="12" t="n">
        <v>1</v>
      </c>
      <c r="DU11" s="12" t="n">
        <v>1</v>
      </c>
      <c r="DW11" s="12" t="n">
        <v>1</v>
      </c>
      <c r="EA11" s="12" t="n">
        <v>1</v>
      </c>
      <c r="EC11" s="12" t="n">
        <v>1</v>
      </c>
      <c r="EE11" s="12" t="n">
        <v>1</v>
      </c>
      <c r="EF11" s="13"/>
      <c r="EG11" s="12" t="n">
        <f aca="false">COUNT(DS11:EE11)</f>
        <v>6</v>
      </c>
      <c r="EL11" s="12" t="n">
        <v>19</v>
      </c>
      <c r="EN11" s="12" t="n">
        <v>3</v>
      </c>
      <c r="EO11" s="12" t="n">
        <v>0</v>
      </c>
      <c r="EP11" s="12" t="n">
        <v>0</v>
      </c>
      <c r="EQ11" s="12" t="n">
        <v>0</v>
      </c>
      <c r="ER11" s="12" t="n">
        <v>1</v>
      </c>
      <c r="ES11" s="12" t="n">
        <v>0</v>
      </c>
      <c r="ET11" s="13"/>
      <c r="EU11" s="12" t="n">
        <v>1</v>
      </c>
      <c r="EW11" s="12" t="n">
        <v>1</v>
      </c>
      <c r="EX11" s="12" t="n">
        <v>1</v>
      </c>
      <c r="EZ11" s="12" t="n">
        <v>1</v>
      </c>
      <c r="FC11" s="12" t="n">
        <v>1</v>
      </c>
      <c r="FE11" s="12" t="n">
        <v>1</v>
      </c>
      <c r="FF11" s="12" t="n">
        <v>1</v>
      </c>
      <c r="FH11" s="13"/>
      <c r="FI11" s="12" t="n">
        <f aca="false">COUNT(EU11:FG11)</f>
        <v>7</v>
      </c>
      <c r="FN11" s="12" t="n">
        <v>13</v>
      </c>
      <c r="FP11" s="12" t="n">
        <v>4</v>
      </c>
      <c r="FQ11" s="12" t="n">
        <v>1</v>
      </c>
      <c r="FR11" s="12" t="n">
        <v>0</v>
      </c>
      <c r="FS11" s="12" t="n">
        <v>0</v>
      </c>
      <c r="FT11" s="12" t="n">
        <v>0</v>
      </c>
      <c r="FU11" s="12" t="n">
        <v>0</v>
      </c>
      <c r="FV11" s="13"/>
      <c r="FW11" s="12" t="n">
        <v>1</v>
      </c>
      <c r="FY11" s="12" t="n">
        <v>1</v>
      </c>
      <c r="GA11" s="12" t="n">
        <v>1</v>
      </c>
      <c r="GB11" s="12" t="n">
        <v>1</v>
      </c>
      <c r="GE11" s="12" t="n">
        <v>1</v>
      </c>
      <c r="GG11" s="12" t="n">
        <v>1</v>
      </c>
      <c r="GJ11" s="13"/>
      <c r="GK11" s="12" t="n">
        <f aca="false">COUNT(FW11:GI11)</f>
        <v>6</v>
      </c>
      <c r="GP11" s="12" t="n">
        <v>11</v>
      </c>
      <c r="GQ11" s="12"/>
      <c r="GR11" s="12" t="n">
        <v>4</v>
      </c>
      <c r="GS11" s="12" t="n">
        <v>2</v>
      </c>
      <c r="GT11" s="12" t="n">
        <v>0</v>
      </c>
      <c r="GU11" s="12" t="n">
        <v>0</v>
      </c>
      <c r="GV11" s="12" t="n">
        <v>0</v>
      </c>
      <c r="GW11" s="12" t="n">
        <v>0</v>
      </c>
      <c r="GX11" s="13"/>
      <c r="GY11" s="12" t="n">
        <v>1</v>
      </c>
      <c r="GZ11" s="12"/>
      <c r="HA11" s="12" t="n">
        <v>1</v>
      </c>
      <c r="HB11" s="12"/>
      <c r="HC11" s="12" t="n">
        <v>1</v>
      </c>
      <c r="HD11" s="12" t="n">
        <v>1</v>
      </c>
      <c r="HE11" s="12"/>
      <c r="HF11" s="12"/>
      <c r="HG11" s="12" t="n">
        <v>1</v>
      </c>
      <c r="HH11" s="12"/>
      <c r="HI11" s="12" t="n">
        <v>1</v>
      </c>
      <c r="HJ11" s="12" t="n">
        <v>1</v>
      </c>
      <c r="HK11" s="12"/>
      <c r="HL11" s="13"/>
      <c r="HM11" s="12" t="n">
        <f aca="false">COUNT(GY11:HK11)</f>
        <v>7</v>
      </c>
    </row>
    <row r="12" customFormat="false" ht="18.3" hidden="false" customHeight="true" outlineLevel="0" collapsed="false">
      <c r="B12" s="12" t="n">
        <v>8</v>
      </c>
      <c r="D12" s="12" t="n">
        <v>1</v>
      </c>
      <c r="E12" s="12" t="n">
        <v>1</v>
      </c>
      <c r="F12" s="12" t="n">
        <v>1</v>
      </c>
      <c r="G12" s="12" t="n">
        <v>0</v>
      </c>
      <c r="H12" s="12" t="n">
        <v>0</v>
      </c>
      <c r="I12" s="12" t="n">
        <v>0</v>
      </c>
      <c r="J12" s="13"/>
      <c r="K12" s="12" t="n">
        <v>1</v>
      </c>
      <c r="O12" s="12" t="n">
        <v>1</v>
      </c>
      <c r="P12" s="12" t="n">
        <v>1</v>
      </c>
      <c r="S12" s="12" t="n">
        <v>1</v>
      </c>
      <c r="U12" s="12" t="n">
        <v>1</v>
      </c>
      <c r="W12" s="12" t="n">
        <v>1</v>
      </c>
      <c r="X12" s="13"/>
      <c r="Y12" s="12" t="n">
        <f aca="false">COUNT(K12:W12)</f>
        <v>6</v>
      </c>
      <c r="AD12" s="12" t="n">
        <v>8</v>
      </c>
      <c r="AF12" s="12" t="n">
        <v>1</v>
      </c>
      <c r="AG12" s="12" t="n">
        <v>1</v>
      </c>
      <c r="AH12" s="12" t="n">
        <v>1</v>
      </c>
      <c r="AI12" s="12" t="n">
        <v>0</v>
      </c>
      <c r="AJ12" s="12" t="n">
        <v>0</v>
      </c>
      <c r="AK12" s="12" t="n">
        <v>0</v>
      </c>
      <c r="AL12" s="13"/>
      <c r="AM12" s="12" t="n">
        <v>1</v>
      </c>
      <c r="AQ12" s="12" t="n">
        <v>1</v>
      </c>
      <c r="AR12" s="12" t="n">
        <v>1</v>
      </c>
      <c r="AU12" s="12" t="n">
        <v>1</v>
      </c>
      <c r="AW12" s="12" t="n">
        <v>1</v>
      </c>
      <c r="AY12" s="12" t="n">
        <v>1</v>
      </c>
      <c r="AZ12" s="13"/>
      <c r="BA12" s="12" t="n">
        <f aca="false">COUNT(AM12:AY12)</f>
        <v>6</v>
      </c>
      <c r="BF12" s="12" t="n">
        <v>8</v>
      </c>
      <c r="BH12" s="12" t="n">
        <v>1</v>
      </c>
      <c r="BI12" s="12" t="n">
        <v>1</v>
      </c>
      <c r="BJ12" s="12" t="n">
        <v>1</v>
      </c>
      <c r="BK12" s="12" t="n">
        <v>0</v>
      </c>
      <c r="BL12" s="12" t="n">
        <v>0</v>
      </c>
      <c r="BM12" s="12" t="n">
        <v>0</v>
      </c>
      <c r="BN12" s="13"/>
      <c r="BO12" s="12" t="n">
        <v>1</v>
      </c>
      <c r="BS12" s="12" t="n">
        <v>1</v>
      </c>
      <c r="BT12" s="12" t="n">
        <v>1</v>
      </c>
      <c r="BW12" s="12" t="n">
        <v>1</v>
      </c>
      <c r="BY12" s="12" t="n">
        <v>1</v>
      </c>
      <c r="CA12" s="12" t="n">
        <v>1</v>
      </c>
      <c r="CB12" s="13"/>
      <c r="CC12" s="12" t="n">
        <f aca="false">COUNT(BO12:CA12)</f>
        <v>6</v>
      </c>
      <c r="CH12" s="12" t="n">
        <v>8</v>
      </c>
      <c r="CJ12" s="12" t="n">
        <v>1</v>
      </c>
      <c r="CK12" s="12" t="n">
        <v>1</v>
      </c>
      <c r="CL12" s="12" t="n">
        <v>1</v>
      </c>
      <c r="CM12" s="12" t="n">
        <v>0</v>
      </c>
      <c r="CN12" s="12" t="n">
        <v>0</v>
      </c>
      <c r="CO12" s="12" t="n">
        <v>0</v>
      </c>
      <c r="CP12" s="13"/>
      <c r="CQ12" s="12" t="n">
        <v>1</v>
      </c>
      <c r="CU12" s="12" t="n">
        <v>1</v>
      </c>
      <c r="CV12" s="12" t="n">
        <v>1</v>
      </c>
      <c r="CY12" s="12" t="n">
        <v>1</v>
      </c>
      <c r="DA12" s="12" t="n">
        <v>1</v>
      </c>
      <c r="DC12" s="12" t="n">
        <v>1</v>
      </c>
      <c r="DD12" s="13"/>
      <c r="DE12" s="12" t="n">
        <f aca="false">COUNT(CQ12:DC12)</f>
        <v>6</v>
      </c>
      <c r="DJ12" s="12" t="n">
        <v>8</v>
      </c>
      <c r="DL12" s="12" t="n">
        <v>1</v>
      </c>
      <c r="DM12" s="12" t="n">
        <v>1</v>
      </c>
      <c r="DN12" s="12" t="n">
        <v>1</v>
      </c>
      <c r="DO12" s="12" t="n">
        <v>0</v>
      </c>
      <c r="DP12" s="12" t="n">
        <v>0</v>
      </c>
      <c r="DQ12" s="12" t="n">
        <v>0</v>
      </c>
      <c r="DR12" s="13"/>
      <c r="DS12" s="12" t="n">
        <v>1</v>
      </c>
      <c r="DW12" s="12" t="n">
        <v>1</v>
      </c>
      <c r="DX12" s="12" t="n">
        <v>1</v>
      </c>
      <c r="EA12" s="12" t="n">
        <v>1</v>
      </c>
      <c r="EC12" s="12" t="n">
        <v>1</v>
      </c>
      <c r="EE12" s="12" t="n">
        <v>1</v>
      </c>
      <c r="EF12" s="13"/>
      <c r="EG12" s="12" t="n">
        <f aca="false">COUNT(DS12:EE12)</f>
        <v>6</v>
      </c>
      <c r="EL12" s="12" t="n">
        <v>20</v>
      </c>
      <c r="EN12" s="12" t="n">
        <v>0</v>
      </c>
      <c r="EO12" s="12" t="n">
        <v>3</v>
      </c>
      <c r="EP12" s="12" t="n">
        <v>0</v>
      </c>
      <c r="EQ12" s="12" t="n">
        <v>0</v>
      </c>
      <c r="ER12" s="12" t="n">
        <v>0</v>
      </c>
      <c r="ES12" s="12" t="n">
        <v>1</v>
      </c>
      <c r="ET12" s="13"/>
      <c r="EU12" s="12" t="n">
        <v>1</v>
      </c>
      <c r="EW12" s="12" t="n">
        <v>1</v>
      </c>
      <c r="EX12" s="12" t="n">
        <v>1</v>
      </c>
      <c r="EZ12" s="12" t="n">
        <v>1</v>
      </c>
      <c r="FC12" s="12" t="n">
        <v>1</v>
      </c>
      <c r="FE12" s="12" t="n">
        <v>1</v>
      </c>
      <c r="FF12" s="12" t="n">
        <v>1</v>
      </c>
      <c r="FH12" s="13"/>
      <c r="FI12" s="12" t="n">
        <f aca="false">COUNT(EU12:FG12)</f>
        <v>7</v>
      </c>
      <c r="FN12" s="12" t="n">
        <v>14</v>
      </c>
      <c r="FP12" s="12" t="n">
        <v>3</v>
      </c>
      <c r="FQ12" s="12" t="n">
        <v>2</v>
      </c>
      <c r="FR12" s="12" t="n">
        <v>0</v>
      </c>
      <c r="FS12" s="12" t="n">
        <v>0</v>
      </c>
      <c r="FT12" s="12" t="n">
        <v>0</v>
      </c>
      <c r="FU12" s="12" t="n">
        <v>0</v>
      </c>
      <c r="FV12" s="13"/>
      <c r="FW12" s="12" t="n">
        <v>1</v>
      </c>
      <c r="FY12" s="12" t="n">
        <v>1</v>
      </c>
      <c r="GA12" s="12" t="n">
        <v>1</v>
      </c>
      <c r="GE12" s="12" t="n">
        <v>1</v>
      </c>
      <c r="GG12" s="12" t="n">
        <v>1</v>
      </c>
      <c r="GH12" s="12" t="n">
        <v>1</v>
      </c>
      <c r="GJ12" s="13"/>
      <c r="GK12" s="12" t="n">
        <f aca="false">COUNT(FW12:GI12)</f>
        <v>6</v>
      </c>
      <c r="GP12" s="12" t="n">
        <v>13</v>
      </c>
      <c r="GQ12" s="12"/>
      <c r="GR12" s="12" t="n">
        <v>4</v>
      </c>
      <c r="GS12" s="12" t="n">
        <v>1</v>
      </c>
      <c r="GT12" s="12" t="n">
        <v>0</v>
      </c>
      <c r="GU12" s="12" t="n">
        <v>0</v>
      </c>
      <c r="GV12" s="12" t="n">
        <v>0</v>
      </c>
      <c r="GW12" s="12" t="n">
        <v>0</v>
      </c>
      <c r="GX12" s="13"/>
      <c r="GY12" s="12" t="n">
        <v>1</v>
      </c>
      <c r="GZ12" s="12"/>
      <c r="HA12" s="12" t="n">
        <v>1</v>
      </c>
      <c r="HB12" s="12"/>
      <c r="HC12" s="12" t="n">
        <v>1</v>
      </c>
      <c r="HD12" s="12" t="n">
        <v>1</v>
      </c>
      <c r="HE12" s="12"/>
      <c r="HF12" s="12"/>
      <c r="HG12" s="12" t="n">
        <v>1</v>
      </c>
      <c r="HH12" s="12"/>
      <c r="HI12" s="12" t="n">
        <v>1</v>
      </c>
      <c r="HJ12" s="12"/>
      <c r="HK12" s="12"/>
      <c r="HL12" s="13"/>
      <c r="HM12" s="12" t="n">
        <f aca="false">COUNT(GY12:HK12)</f>
        <v>6</v>
      </c>
    </row>
    <row r="13" customFormat="false" ht="18.3" hidden="false" customHeight="true" outlineLevel="0" collapsed="false">
      <c r="B13" s="12" t="n">
        <v>9</v>
      </c>
      <c r="D13" s="12" t="n">
        <v>1</v>
      </c>
      <c r="E13" s="12" t="n">
        <v>0</v>
      </c>
      <c r="F13" s="12" t="n">
        <v>1</v>
      </c>
      <c r="G13" s="12" t="n">
        <v>0</v>
      </c>
      <c r="H13" s="12" t="n">
        <v>0</v>
      </c>
      <c r="I13" s="12" t="n">
        <v>0</v>
      </c>
      <c r="J13" s="13"/>
      <c r="K13" s="12" t="n">
        <v>1</v>
      </c>
      <c r="O13" s="12" t="n">
        <v>1</v>
      </c>
      <c r="S13" s="12" t="n">
        <v>1</v>
      </c>
      <c r="W13" s="12" t="n">
        <v>1</v>
      </c>
      <c r="X13" s="13"/>
      <c r="Y13" s="12" t="n">
        <f aca="false">COUNT(K13:W13)</f>
        <v>4</v>
      </c>
      <c r="AD13" s="12" t="n">
        <v>9</v>
      </c>
      <c r="AF13" s="12" t="n">
        <v>1</v>
      </c>
      <c r="AG13" s="12" t="n">
        <v>0</v>
      </c>
      <c r="AH13" s="12" t="n">
        <v>1</v>
      </c>
      <c r="AI13" s="12" t="n">
        <v>0</v>
      </c>
      <c r="AJ13" s="12" t="n">
        <v>0</v>
      </c>
      <c r="AK13" s="12" t="n">
        <v>0</v>
      </c>
      <c r="AL13" s="13"/>
      <c r="AM13" s="12" t="n">
        <v>1</v>
      </c>
      <c r="AQ13" s="12" t="n">
        <v>1</v>
      </c>
      <c r="AU13" s="12" t="n">
        <v>1</v>
      </c>
      <c r="AY13" s="12" t="n">
        <v>1</v>
      </c>
      <c r="AZ13" s="13"/>
      <c r="BA13" s="12" t="n">
        <f aca="false">COUNT(AM13:AY13)</f>
        <v>4</v>
      </c>
      <c r="BF13" s="12" t="n">
        <v>9</v>
      </c>
      <c r="BH13" s="12" t="n">
        <v>1</v>
      </c>
      <c r="BI13" s="12" t="n">
        <v>0</v>
      </c>
      <c r="BJ13" s="12" t="n">
        <v>1</v>
      </c>
      <c r="BK13" s="12" t="n">
        <v>0</v>
      </c>
      <c r="BL13" s="12" t="n">
        <v>0</v>
      </c>
      <c r="BM13" s="12" t="n">
        <v>0</v>
      </c>
      <c r="BN13" s="13"/>
      <c r="BO13" s="12" t="n">
        <v>1</v>
      </c>
      <c r="BS13" s="12" t="n">
        <v>1</v>
      </c>
      <c r="BW13" s="12" t="n">
        <v>1</v>
      </c>
      <c r="CA13" s="12" t="n">
        <v>1</v>
      </c>
      <c r="CB13" s="13"/>
      <c r="CC13" s="12" t="n">
        <f aca="false">COUNT(BO13:CA13)</f>
        <v>4</v>
      </c>
      <c r="CH13" s="12" t="n">
        <v>10</v>
      </c>
      <c r="CJ13" s="12" t="n">
        <v>1</v>
      </c>
      <c r="CK13" s="12" t="n">
        <v>2</v>
      </c>
      <c r="CL13" s="12" t="n">
        <v>0</v>
      </c>
      <c r="CM13" s="12" t="n">
        <v>0</v>
      </c>
      <c r="CN13" s="12" t="n">
        <v>0</v>
      </c>
      <c r="CO13" s="12" t="n">
        <v>1</v>
      </c>
      <c r="CP13" s="13"/>
      <c r="CQ13" s="12" t="n">
        <v>1</v>
      </c>
      <c r="CS13" s="12" t="n">
        <v>1</v>
      </c>
      <c r="CU13" s="12" t="n">
        <v>1</v>
      </c>
      <c r="CV13" s="12" t="n">
        <v>1</v>
      </c>
      <c r="CY13" s="12" t="n">
        <v>1</v>
      </c>
      <c r="DA13" s="12" t="n">
        <v>1</v>
      </c>
      <c r="DB13" s="12" t="n">
        <v>1</v>
      </c>
      <c r="DD13" s="13"/>
      <c r="DE13" s="12" t="n">
        <f aca="false">COUNT(CQ13:DC13)</f>
        <v>7</v>
      </c>
      <c r="DJ13" s="12" t="n">
        <v>10</v>
      </c>
      <c r="DL13" s="12" t="n">
        <v>1</v>
      </c>
      <c r="DM13" s="12" t="n">
        <v>2</v>
      </c>
      <c r="DN13" s="12" t="n">
        <v>0</v>
      </c>
      <c r="DO13" s="12" t="n">
        <v>0</v>
      </c>
      <c r="DP13" s="12" t="n">
        <v>0</v>
      </c>
      <c r="DQ13" s="12" t="n">
        <v>1</v>
      </c>
      <c r="DR13" s="13"/>
      <c r="DS13" s="12" t="n">
        <v>1</v>
      </c>
      <c r="DU13" s="12" t="n">
        <v>1</v>
      </c>
      <c r="DW13" s="12" t="n">
        <v>1</v>
      </c>
      <c r="DX13" s="12" t="n">
        <v>1</v>
      </c>
      <c r="EA13" s="12" t="n">
        <v>1</v>
      </c>
      <c r="EC13" s="12" t="n">
        <v>1</v>
      </c>
      <c r="ED13" s="12" t="n">
        <v>1</v>
      </c>
      <c r="EF13" s="13"/>
      <c r="EG13" s="12" t="n">
        <f aca="false">COUNT(DS13:EE13)</f>
        <v>7</v>
      </c>
      <c r="EL13" s="12" t="n">
        <v>21</v>
      </c>
      <c r="EN13" s="12" t="n">
        <v>3</v>
      </c>
      <c r="EO13" s="12" t="n">
        <v>3</v>
      </c>
      <c r="EP13" s="12" t="n">
        <v>0</v>
      </c>
      <c r="EQ13" s="12" t="n">
        <v>0</v>
      </c>
      <c r="ER13" s="12" t="n">
        <v>0</v>
      </c>
      <c r="ES13" s="12" t="n">
        <v>0</v>
      </c>
      <c r="ET13" s="13"/>
      <c r="EU13" s="12" t="n">
        <v>1</v>
      </c>
      <c r="EW13" s="12" t="n">
        <v>1</v>
      </c>
      <c r="EX13" s="12" t="n">
        <v>1</v>
      </c>
      <c r="EZ13" s="12" t="n">
        <v>1</v>
      </c>
      <c r="FC13" s="12" t="n">
        <v>1</v>
      </c>
      <c r="FE13" s="12" t="n">
        <v>1</v>
      </c>
      <c r="FF13" s="12" t="n">
        <v>1</v>
      </c>
      <c r="FH13" s="13"/>
      <c r="FI13" s="12" t="n">
        <f aca="false">COUNT(EU13:FG13)</f>
        <v>7</v>
      </c>
      <c r="FN13" s="12" t="n">
        <v>15</v>
      </c>
      <c r="FP13" s="12" t="n">
        <v>4</v>
      </c>
      <c r="FQ13" s="12" t="n">
        <v>0</v>
      </c>
      <c r="FR13" s="12" t="n">
        <v>0</v>
      </c>
      <c r="FS13" s="12" t="n">
        <v>0</v>
      </c>
      <c r="FT13" s="12" t="n">
        <v>0</v>
      </c>
      <c r="FU13" s="12" t="n">
        <v>0</v>
      </c>
      <c r="FV13" s="13"/>
      <c r="FW13" s="12" t="n">
        <v>1</v>
      </c>
      <c r="FY13" s="12" t="n">
        <v>1</v>
      </c>
      <c r="GA13" s="12" t="n">
        <v>1</v>
      </c>
      <c r="GE13" s="12" t="n">
        <v>1</v>
      </c>
      <c r="GG13" s="12" t="n">
        <v>1</v>
      </c>
      <c r="GJ13" s="13"/>
      <c r="GK13" s="12" t="n">
        <f aca="false">COUNT(FW13:GI13)</f>
        <v>5</v>
      </c>
      <c r="GP13" s="12" t="n">
        <v>14</v>
      </c>
      <c r="GQ13" s="12"/>
      <c r="GR13" s="12" t="n">
        <v>3</v>
      </c>
      <c r="GS13" s="12" t="n">
        <v>2</v>
      </c>
      <c r="GT13" s="12" t="n">
        <v>0</v>
      </c>
      <c r="GU13" s="12" t="n">
        <v>0</v>
      </c>
      <c r="GV13" s="12" t="n">
        <v>0</v>
      </c>
      <c r="GW13" s="12" t="n">
        <v>0</v>
      </c>
      <c r="GX13" s="13"/>
      <c r="GY13" s="12" t="n">
        <v>1</v>
      </c>
      <c r="GZ13" s="12"/>
      <c r="HA13" s="12" t="n">
        <v>1</v>
      </c>
      <c r="HB13" s="12"/>
      <c r="HC13" s="12" t="n">
        <v>1</v>
      </c>
      <c r="HD13" s="12"/>
      <c r="HE13" s="12"/>
      <c r="HF13" s="12"/>
      <c r="HG13" s="12" t="n">
        <v>1</v>
      </c>
      <c r="HH13" s="12"/>
      <c r="HI13" s="12" t="n">
        <v>1</v>
      </c>
      <c r="HJ13" s="12" t="n">
        <v>1</v>
      </c>
      <c r="HK13" s="12"/>
      <c r="HL13" s="13"/>
      <c r="HM13" s="12" t="n">
        <f aca="false">COUNT(GY13:HK13)</f>
        <v>6</v>
      </c>
    </row>
    <row r="14" customFormat="false" ht="18.3" hidden="false" customHeight="true" outlineLevel="0" collapsed="false">
      <c r="B14" s="12" t="n">
        <v>10</v>
      </c>
      <c r="D14" s="12" t="n">
        <v>1</v>
      </c>
      <c r="E14" s="12" t="n">
        <v>2</v>
      </c>
      <c r="F14" s="12" t="n">
        <v>0</v>
      </c>
      <c r="G14" s="12" t="n">
        <v>0</v>
      </c>
      <c r="H14" s="12" t="n">
        <v>0</v>
      </c>
      <c r="I14" s="12" t="n">
        <v>1</v>
      </c>
      <c r="J14" s="13"/>
      <c r="K14" s="12" t="n">
        <v>1</v>
      </c>
      <c r="M14" s="12" t="n">
        <v>1</v>
      </c>
      <c r="O14" s="12" t="n">
        <v>1</v>
      </c>
      <c r="P14" s="12" t="n">
        <v>1</v>
      </c>
      <c r="S14" s="12" t="n">
        <v>1</v>
      </c>
      <c r="U14" s="12" t="n">
        <v>1</v>
      </c>
      <c r="V14" s="12" t="n">
        <v>1</v>
      </c>
      <c r="X14" s="13"/>
      <c r="Y14" s="12" t="n">
        <f aca="false">COUNT(K14:W14)</f>
        <v>7</v>
      </c>
      <c r="AD14" s="12" t="n">
        <v>10</v>
      </c>
      <c r="AF14" s="12" t="n">
        <v>1</v>
      </c>
      <c r="AG14" s="12" t="n">
        <v>2</v>
      </c>
      <c r="AH14" s="12" t="n">
        <v>0</v>
      </c>
      <c r="AI14" s="12" t="n">
        <v>0</v>
      </c>
      <c r="AJ14" s="12" t="n">
        <v>0</v>
      </c>
      <c r="AK14" s="12" t="n">
        <v>1</v>
      </c>
      <c r="AL14" s="13"/>
      <c r="AM14" s="12" t="n">
        <v>1</v>
      </c>
      <c r="AO14" s="12" t="n">
        <v>1</v>
      </c>
      <c r="AQ14" s="12" t="n">
        <v>1</v>
      </c>
      <c r="AR14" s="12" t="n">
        <v>1</v>
      </c>
      <c r="AU14" s="12" t="n">
        <v>1</v>
      </c>
      <c r="AW14" s="12" t="n">
        <v>1</v>
      </c>
      <c r="AX14" s="12" t="n">
        <v>1</v>
      </c>
      <c r="AZ14" s="13"/>
      <c r="BA14" s="12" t="n">
        <f aca="false">COUNT(AM14:AY14)</f>
        <v>7</v>
      </c>
      <c r="BF14" s="12" t="n">
        <v>10</v>
      </c>
      <c r="BH14" s="12" t="n">
        <v>1</v>
      </c>
      <c r="BI14" s="12" t="n">
        <v>2</v>
      </c>
      <c r="BJ14" s="12" t="n">
        <v>0</v>
      </c>
      <c r="BK14" s="12" t="n">
        <v>0</v>
      </c>
      <c r="BL14" s="12" t="n">
        <v>0</v>
      </c>
      <c r="BM14" s="12" t="n">
        <v>1</v>
      </c>
      <c r="BN14" s="13"/>
      <c r="BO14" s="12" t="n">
        <v>1</v>
      </c>
      <c r="BQ14" s="12" t="n">
        <v>1</v>
      </c>
      <c r="BS14" s="12" t="n">
        <v>1</v>
      </c>
      <c r="BT14" s="12" t="n">
        <v>1</v>
      </c>
      <c r="BW14" s="12" t="n">
        <v>1</v>
      </c>
      <c r="BY14" s="12" t="n">
        <v>1</v>
      </c>
      <c r="BZ14" s="12" t="n">
        <v>1</v>
      </c>
      <c r="CB14" s="13"/>
      <c r="CC14" s="12" t="n">
        <f aca="false">COUNT(BO14:CA14)</f>
        <v>7</v>
      </c>
      <c r="CH14" s="12" t="n">
        <v>11</v>
      </c>
      <c r="CJ14" s="12" t="n">
        <v>4</v>
      </c>
      <c r="CK14" s="12" t="n">
        <v>2</v>
      </c>
      <c r="CL14" s="12" t="n">
        <v>0</v>
      </c>
      <c r="CM14" s="12" t="n">
        <v>0</v>
      </c>
      <c r="CN14" s="12" t="n">
        <v>0</v>
      </c>
      <c r="CO14" s="12" t="n">
        <v>0</v>
      </c>
      <c r="CP14" s="13"/>
      <c r="CQ14" s="12" t="n">
        <v>1</v>
      </c>
      <c r="CS14" s="12" t="n">
        <v>1</v>
      </c>
      <c r="CU14" s="12" t="n">
        <v>1</v>
      </c>
      <c r="CV14" s="12" t="n">
        <v>1</v>
      </c>
      <c r="CY14" s="12" t="n">
        <v>1</v>
      </c>
      <c r="DA14" s="12" t="n">
        <v>1</v>
      </c>
      <c r="DB14" s="12" t="n">
        <v>1</v>
      </c>
      <c r="DD14" s="13"/>
      <c r="DE14" s="12" t="n">
        <f aca="false">COUNT(CQ14:DC14)</f>
        <v>7</v>
      </c>
      <c r="DJ14" s="12" t="n">
        <v>11</v>
      </c>
      <c r="DL14" s="12" t="n">
        <v>4</v>
      </c>
      <c r="DM14" s="12" t="n">
        <v>2</v>
      </c>
      <c r="DN14" s="12" t="n">
        <v>0</v>
      </c>
      <c r="DO14" s="12" t="n">
        <v>0</v>
      </c>
      <c r="DP14" s="12" t="n">
        <v>0</v>
      </c>
      <c r="DQ14" s="12" t="n">
        <v>0</v>
      </c>
      <c r="DR14" s="13"/>
      <c r="DS14" s="12" t="n">
        <v>1</v>
      </c>
      <c r="DU14" s="12" t="n">
        <v>1</v>
      </c>
      <c r="DW14" s="12" t="n">
        <v>1</v>
      </c>
      <c r="DX14" s="12" t="n">
        <v>1</v>
      </c>
      <c r="EA14" s="12" t="n">
        <v>1</v>
      </c>
      <c r="EC14" s="12" t="n">
        <v>1</v>
      </c>
      <c r="ED14" s="12" t="n">
        <v>1</v>
      </c>
      <c r="EF14" s="13"/>
      <c r="EG14" s="12" t="n">
        <f aca="false">COUNT(DS14:EE14)</f>
        <v>7</v>
      </c>
      <c r="EL14" s="12" t="n">
        <v>26</v>
      </c>
      <c r="EN14" s="12" t="n">
        <v>2</v>
      </c>
      <c r="EO14" s="12" t="n">
        <v>1</v>
      </c>
      <c r="EP14" s="12" t="n">
        <v>0</v>
      </c>
      <c r="EQ14" s="12" t="n">
        <v>0</v>
      </c>
      <c r="ER14" s="12" t="n">
        <v>1</v>
      </c>
      <c r="ES14" s="12" t="n">
        <v>0</v>
      </c>
      <c r="ET14" s="13"/>
      <c r="EU14" s="12" t="n">
        <v>1</v>
      </c>
      <c r="EW14" s="12" t="n">
        <v>1</v>
      </c>
      <c r="EX14" s="12" t="n">
        <v>1</v>
      </c>
      <c r="EZ14" s="12" t="n">
        <v>1</v>
      </c>
      <c r="FC14" s="12" t="n">
        <v>1</v>
      </c>
      <c r="FD14" s="12" t="n">
        <v>1</v>
      </c>
      <c r="FF14" s="12" t="n">
        <v>1</v>
      </c>
      <c r="FH14" s="13"/>
      <c r="FI14" s="12" t="n">
        <f aca="false">COUNT(EU14:FG14)</f>
        <v>7</v>
      </c>
      <c r="FN14" s="12" t="n">
        <v>16</v>
      </c>
      <c r="FP14" s="12" t="n">
        <v>0</v>
      </c>
      <c r="FQ14" s="12" t="n">
        <v>2</v>
      </c>
      <c r="FR14" s="12" t="n">
        <v>1</v>
      </c>
      <c r="FS14" s="12" t="n">
        <v>0</v>
      </c>
      <c r="FT14" s="12" t="n">
        <v>0</v>
      </c>
      <c r="FU14" s="12" t="n">
        <v>0</v>
      </c>
      <c r="FV14" s="13"/>
      <c r="FW14" s="12" t="n">
        <v>1</v>
      </c>
      <c r="FY14" s="12" t="n">
        <v>1</v>
      </c>
      <c r="GA14" s="12" t="n">
        <v>1</v>
      </c>
      <c r="GB14" s="12" t="n">
        <v>1</v>
      </c>
      <c r="GG14" s="12" t="n">
        <v>1</v>
      </c>
      <c r="GH14" s="12" t="n">
        <v>1</v>
      </c>
      <c r="GJ14" s="13"/>
      <c r="GK14" s="12" t="n">
        <f aca="false">COUNT(FW14:GI14)</f>
        <v>6</v>
      </c>
      <c r="GP14" s="12" t="n">
        <v>15</v>
      </c>
      <c r="GQ14" s="12"/>
      <c r="GR14" s="12" t="n">
        <v>4</v>
      </c>
      <c r="GS14" s="12" t="n">
        <v>0</v>
      </c>
      <c r="GT14" s="12" t="n">
        <v>0</v>
      </c>
      <c r="GU14" s="12" t="n">
        <v>0</v>
      </c>
      <c r="GV14" s="12" t="n">
        <v>0</v>
      </c>
      <c r="GW14" s="12" t="n">
        <v>0</v>
      </c>
      <c r="GX14" s="13"/>
      <c r="GY14" s="12" t="n">
        <v>1</v>
      </c>
      <c r="GZ14" s="12"/>
      <c r="HA14" s="12" t="n">
        <v>1</v>
      </c>
      <c r="HB14" s="12"/>
      <c r="HC14" s="12" t="n">
        <v>1</v>
      </c>
      <c r="HD14" s="12"/>
      <c r="HE14" s="12"/>
      <c r="HF14" s="12"/>
      <c r="HG14" s="12" t="n">
        <v>1</v>
      </c>
      <c r="HH14" s="12"/>
      <c r="HI14" s="12" t="n">
        <v>1</v>
      </c>
      <c r="HJ14" s="12"/>
      <c r="HK14" s="12"/>
      <c r="HL14" s="13"/>
      <c r="HM14" s="12" t="n">
        <f aca="false">COUNT(GY14:HK14)</f>
        <v>5</v>
      </c>
    </row>
    <row r="15" customFormat="false" ht="18.3" hidden="false" customHeight="true" outlineLevel="0" collapsed="false">
      <c r="B15" s="12" t="n">
        <v>11</v>
      </c>
      <c r="D15" s="12" t="n">
        <v>4</v>
      </c>
      <c r="E15" s="12" t="n">
        <v>2</v>
      </c>
      <c r="F15" s="12" t="n">
        <v>0</v>
      </c>
      <c r="G15" s="12" t="n">
        <v>0</v>
      </c>
      <c r="H15" s="12" t="n">
        <v>0</v>
      </c>
      <c r="I15" s="12" t="n">
        <v>0</v>
      </c>
      <c r="J15" s="13"/>
      <c r="K15" s="12" t="n">
        <v>1</v>
      </c>
      <c r="M15" s="12" t="n">
        <v>1</v>
      </c>
      <c r="O15" s="12" t="n">
        <v>1</v>
      </c>
      <c r="P15" s="12" t="n">
        <v>1</v>
      </c>
      <c r="S15" s="12" t="n">
        <v>1</v>
      </c>
      <c r="U15" s="12" t="n">
        <v>1</v>
      </c>
      <c r="V15" s="12" t="n">
        <v>1</v>
      </c>
      <c r="X15" s="13"/>
      <c r="Y15" s="12" t="n">
        <f aca="false">COUNT(K15:W15)</f>
        <v>7</v>
      </c>
      <c r="AD15" s="12" t="n">
        <v>11</v>
      </c>
      <c r="AF15" s="12" t="n">
        <v>4</v>
      </c>
      <c r="AG15" s="12" t="n">
        <v>2</v>
      </c>
      <c r="AH15" s="12" t="n">
        <v>0</v>
      </c>
      <c r="AI15" s="12" t="n">
        <v>0</v>
      </c>
      <c r="AJ15" s="12" t="n">
        <v>0</v>
      </c>
      <c r="AK15" s="12" t="n">
        <v>0</v>
      </c>
      <c r="AL15" s="13"/>
      <c r="AM15" s="12" t="n">
        <v>1</v>
      </c>
      <c r="AO15" s="12" t="n">
        <v>1</v>
      </c>
      <c r="AQ15" s="12" t="n">
        <v>1</v>
      </c>
      <c r="AR15" s="12" t="n">
        <v>1</v>
      </c>
      <c r="AU15" s="12" t="n">
        <v>1</v>
      </c>
      <c r="AW15" s="12" t="n">
        <v>1</v>
      </c>
      <c r="AX15" s="12" t="n">
        <v>1</v>
      </c>
      <c r="AZ15" s="13"/>
      <c r="BA15" s="12" t="n">
        <f aca="false">COUNT(AM15:AY15)</f>
        <v>7</v>
      </c>
      <c r="BF15" s="12" t="n">
        <v>11</v>
      </c>
      <c r="BH15" s="12" t="n">
        <v>4</v>
      </c>
      <c r="BI15" s="12" t="n">
        <v>2</v>
      </c>
      <c r="BJ15" s="12" t="n">
        <v>0</v>
      </c>
      <c r="BK15" s="12" t="n">
        <v>0</v>
      </c>
      <c r="BL15" s="12" t="n">
        <v>0</v>
      </c>
      <c r="BM15" s="12" t="n">
        <v>0</v>
      </c>
      <c r="BN15" s="13"/>
      <c r="BO15" s="12" t="n">
        <v>1</v>
      </c>
      <c r="BQ15" s="12" t="n">
        <v>1</v>
      </c>
      <c r="BS15" s="12" t="n">
        <v>1</v>
      </c>
      <c r="BT15" s="12" t="n">
        <v>1</v>
      </c>
      <c r="BW15" s="12" t="n">
        <v>1</v>
      </c>
      <c r="BY15" s="12" t="n">
        <v>1</v>
      </c>
      <c r="BZ15" s="12" t="n">
        <v>1</v>
      </c>
      <c r="CB15" s="13"/>
      <c r="CC15" s="12" t="n">
        <f aca="false">COUNT(BO15:CA15)</f>
        <v>7</v>
      </c>
      <c r="CH15" s="12" t="n">
        <v>12</v>
      </c>
      <c r="CJ15" s="12" t="n">
        <v>1</v>
      </c>
      <c r="CK15" s="12" t="n">
        <v>1</v>
      </c>
      <c r="CL15" s="12" t="n">
        <v>0</v>
      </c>
      <c r="CM15" s="12" t="n">
        <v>0</v>
      </c>
      <c r="CN15" s="12" t="n">
        <v>0</v>
      </c>
      <c r="CO15" s="12" t="n">
        <v>1</v>
      </c>
      <c r="CP15" s="13"/>
      <c r="CQ15" s="12" t="n">
        <v>1</v>
      </c>
      <c r="CS15" s="12" t="n">
        <v>1</v>
      </c>
      <c r="CU15" s="12" t="n">
        <v>1</v>
      </c>
      <c r="CV15" s="12" t="n">
        <v>1</v>
      </c>
      <c r="CY15" s="12" t="n">
        <v>1</v>
      </c>
      <c r="DA15" s="12" t="n">
        <v>1</v>
      </c>
      <c r="DD15" s="13"/>
      <c r="DE15" s="12" t="n">
        <f aca="false">COUNT(CQ15:DC15)</f>
        <v>6</v>
      </c>
      <c r="DJ15" s="12" t="n">
        <v>12</v>
      </c>
      <c r="DL15" s="12" t="n">
        <v>1</v>
      </c>
      <c r="DM15" s="12" t="n">
        <v>1</v>
      </c>
      <c r="DN15" s="12" t="n">
        <v>0</v>
      </c>
      <c r="DO15" s="12" t="n">
        <v>0</v>
      </c>
      <c r="DP15" s="12" t="n">
        <v>0</v>
      </c>
      <c r="DQ15" s="12" t="n">
        <v>1</v>
      </c>
      <c r="DR15" s="13"/>
      <c r="DS15" s="12" t="n">
        <v>1</v>
      </c>
      <c r="DU15" s="12" t="n">
        <v>1</v>
      </c>
      <c r="DW15" s="12" t="n">
        <v>1</v>
      </c>
      <c r="DX15" s="12" t="n">
        <v>1</v>
      </c>
      <c r="EA15" s="12" t="n">
        <v>1</v>
      </c>
      <c r="EC15" s="12" t="n">
        <v>1</v>
      </c>
      <c r="EF15" s="13"/>
      <c r="EG15" s="12" t="n">
        <f aca="false">COUNT(DS15:EE15)</f>
        <v>6</v>
      </c>
      <c r="EL15" s="12" t="n">
        <v>27</v>
      </c>
      <c r="EN15" s="12" t="n">
        <v>2</v>
      </c>
      <c r="EO15" s="12" t="n">
        <v>4</v>
      </c>
      <c r="EP15" s="12" t="n">
        <v>0</v>
      </c>
      <c r="EQ15" s="12" t="n">
        <v>0</v>
      </c>
      <c r="ER15" s="12" t="n">
        <v>0</v>
      </c>
      <c r="ES15" s="12" t="n">
        <v>0</v>
      </c>
      <c r="ET15" s="13"/>
      <c r="EU15" s="12" t="n">
        <v>1</v>
      </c>
      <c r="EW15" s="12" t="n">
        <v>1</v>
      </c>
      <c r="EX15" s="12" t="n">
        <v>1</v>
      </c>
      <c r="EZ15" s="12" t="n">
        <v>1</v>
      </c>
      <c r="FC15" s="12" t="n">
        <v>1</v>
      </c>
      <c r="FD15" s="12" t="n">
        <v>1</v>
      </c>
      <c r="FF15" s="12" t="n">
        <v>1</v>
      </c>
      <c r="FH15" s="13"/>
      <c r="FI15" s="12" t="n">
        <f aca="false">COUNT(EU15:FG15)</f>
        <v>7</v>
      </c>
      <c r="FN15" s="12" t="n">
        <v>17</v>
      </c>
      <c r="FP15" s="12" t="n">
        <v>1</v>
      </c>
      <c r="FQ15" s="12" t="n">
        <v>0</v>
      </c>
      <c r="FR15" s="12" t="n">
        <v>0</v>
      </c>
      <c r="FS15" s="12" t="n">
        <v>0</v>
      </c>
      <c r="FT15" s="12" t="n">
        <v>0</v>
      </c>
      <c r="FU15" s="12" t="n">
        <v>1</v>
      </c>
      <c r="FV15" s="13"/>
      <c r="FW15" s="12" t="n">
        <v>1</v>
      </c>
      <c r="GA15" s="12" t="n">
        <v>1</v>
      </c>
      <c r="GE15" s="12" t="n">
        <v>1</v>
      </c>
      <c r="GG15" s="12" t="n">
        <v>1</v>
      </c>
      <c r="GJ15" s="13"/>
      <c r="GK15" s="12" t="n">
        <f aca="false">COUNT(FW15:GI15)</f>
        <v>4</v>
      </c>
      <c r="GP15" s="12" t="n">
        <v>16</v>
      </c>
      <c r="GQ15" s="12"/>
      <c r="GR15" s="12" t="n">
        <v>0</v>
      </c>
      <c r="GS15" s="12" t="n">
        <v>2</v>
      </c>
      <c r="GT15" s="12" t="n">
        <v>1</v>
      </c>
      <c r="GU15" s="12" t="n">
        <v>0</v>
      </c>
      <c r="GV15" s="12" t="n">
        <v>0</v>
      </c>
      <c r="GW15" s="12" t="n">
        <v>0</v>
      </c>
      <c r="GX15" s="13"/>
      <c r="GY15" s="12" t="n">
        <v>1</v>
      </c>
      <c r="GZ15" s="12"/>
      <c r="HA15" s="12" t="n">
        <v>1</v>
      </c>
      <c r="HB15" s="12"/>
      <c r="HC15" s="12" t="n">
        <v>1</v>
      </c>
      <c r="HD15" s="12" t="n">
        <v>1</v>
      </c>
      <c r="HE15" s="12"/>
      <c r="HF15" s="12"/>
      <c r="HG15" s="12"/>
      <c r="HH15" s="12"/>
      <c r="HI15" s="12" t="n">
        <v>1</v>
      </c>
      <c r="HJ15" s="12" t="n">
        <v>1</v>
      </c>
      <c r="HK15" s="12"/>
      <c r="HL15" s="13"/>
      <c r="HM15" s="12" t="n">
        <f aca="false">COUNT(GY15:HK15)</f>
        <v>6</v>
      </c>
    </row>
    <row r="16" customFormat="false" ht="18.3" hidden="false" customHeight="true" outlineLevel="0" collapsed="false">
      <c r="B16" s="12" t="n">
        <v>12</v>
      </c>
      <c r="D16" s="12" t="n">
        <v>1</v>
      </c>
      <c r="E16" s="12" t="n">
        <v>1</v>
      </c>
      <c r="F16" s="12" t="n">
        <v>0</v>
      </c>
      <c r="G16" s="12" t="n">
        <v>0</v>
      </c>
      <c r="H16" s="12" t="n">
        <v>0</v>
      </c>
      <c r="I16" s="12" t="n">
        <v>1</v>
      </c>
      <c r="J16" s="13"/>
      <c r="K16" s="12" t="n">
        <v>1</v>
      </c>
      <c r="M16" s="12" t="n">
        <v>1</v>
      </c>
      <c r="O16" s="12" t="n">
        <v>1</v>
      </c>
      <c r="P16" s="12" t="n">
        <v>1</v>
      </c>
      <c r="S16" s="12" t="n">
        <v>1</v>
      </c>
      <c r="U16" s="12" t="n">
        <v>1</v>
      </c>
      <c r="X16" s="13"/>
      <c r="Y16" s="12" t="n">
        <f aca="false">COUNT(K16:W16)</f>
        <v>6</v>
      </c>
      <c r="AD16" s="12" t="n">
        <v>12</v>
      </c>
      <c r="AF16" s="12" t="n">
        <v>1</v>
      </c>
      <c r="AG16" s="12" t="n">
        <v>1</v>
      </c>
      <c r="AH16" s="12" t="n">
        <v>0</v>
      </c>
      <c r="AI16" s="12" t="n">
        <v>0</v>
      </c>
      <c r="AJ16" s="12" t="n">
        <v>0</v>
      </c>
      <c r="AK16" s="12" t="n">
        <v>1</v>
      </c>
      <c r="AL16" s="13"/>
      <c r="AM16" s="12" t="n">
        <v>1</v>
      </c>
      <c r="AO16" s="12" t="n">
        <v>1</v>
      </c>
      <c r="AQ16" s="12" t="n">
        <v>1</v>
      </c>
      <c r="AR16" s="12" t="n">
        <v>1</v>
      </c>
      <c r="AU16" s="12" t="n">
        <v>1</v>
      </c>
      <c r="AW16" s="12" t="n">
        <v>1</v>
      </c>
      <c r="AZ16" s="13"/>
      <c r="BA16" s="12" t="n">
        <f aca="false">COUNT(AM16:AY16)</f>
        <v>6</v>
      </c>
      <c r="BF16" s="12" t="n">
        <v>12</v>
      </c>
      <c r="BH16" s="12" t="n">
        <v>1</v>
      </c>
      <c r="BI16" s="12" t="n">
        <v>1</v>
      </c>
      <c r="BJ16" s="12" t="n">
        <v>0</v>
      </c>
      <c r="BK16" s="12" t="n">
        <v>0</v>
      </c>
      <c r="BL16" s="12" t="n">
        <v>0</v>
      </c>
      <c r="BM16" s="12" t="n">
        <v>1</v>
      </c>
      <c r="BN16" s="13"/>
      <c r="BO16" s="12" t="n">
        <v>1</v>
      </c>
      <c r="BQ16" s="12" t="n">
        <v>1</v>
      </c>
      <c r="BS16" s="12" t="n">
        <v>1</v>
      </c>
      <c r="BT16" s="12" t="n">
        <v>1</v>
      </c>
      <c r="BW16" s="12" t="n">
        <v>1</v>
      </c>
      <c r="BY16" s="12" t="n">
        <v>1</v>
      </c>
      <c r="CB16" s="13"/>
      <c r="CC16" s="12" t="n">
        <f aca="false">COUNT(BO16:CA16)</f>
        <v>6</v>
      </c>
      <c r="CH16" s="12" t="n">
        <v>13</v>
      </c>
      <c r="CJ16" s="12" t="n">
        <v>4</v>
      </c>
      <c r="CK16" s="12" t="n">
        <v>1</v>
      </c>
      <c r="CL16" s="12" t="n">
        <v>0</v>
      </c>
      <c r="CM16" s="12" t="n">
        <v>0</v>
      </c>
      <c r="CN16" s="12" t="n">
        <v>0</v>
      </c>
      <c r="CO16" s="12" t="n">
        <v>0</v>
      </c>
      <c r="CP16" s="13"/>
      <c r="CQ16" s="12" t="n">
        <v>1</v>
      </c>
      <c r="CS16" s="12" t="n">
        <v>1</v>
      </c>
      <c r="CU16" s="12" t="n">
        <v>1</v>
      </c>
      <c r="CV16" s="12" t="n">
        <v>1</v>
      </c>
      <c r="CY16" s="12" t="n">
        <v>1</v>
      </c>
      <c r="DA16" s="12" t="n">
        <v>1</v>
      </c>
      <c r="DD16" s="13"/>
      <c r="DE16" s="12" t="n">
        <f aca="false">COUNT(CQ16:DC16)</f>
        <v>6</v>
      </c>
      <c r="DJ16" s="12" t="n">
        <v>13</v>
      </c>
      <c r="DL16" s="12" t="n">
        <v>4</v>
      </c>
      <c r="DM16" s="12" t="n">
        <v>1</v>
      </c>
      <c r="DN16" s="12" t="n">
        <v>0</v>
      </c>
      <c r="DO16" s="12" t="n">
        <v>0</v>
      </c>
      <c r="DP16" s="12" t="n">
        <v>0</v>
      </c>
      <c r="DQ16" s="12" t="n">
        <v>0</v>
      </c>
      <c r="DR16" s="13"/>
      <c r="DS16" s="12" t="n">
        <v>1</v>
      </c>
      <c r="DU16" s="12" t="n">
        <v>1</v>
      </c>
      <c r="DW16" s="12" t="n">
        <v>1</v>
      </c>
      <c r="DX16" s="12" t="n">
        <v>1</v>
      </c>
      <c r="EA16" s="12" t="n">
        <v>1</v>
      </c>
      <c r="EC16" s="12" t="n">
        <v>1</v>
      </c>
      <c r="EF16" s="13"/>
      <c r="EG16" s="12" t="n">
        <f aca="false">COUNT(DS16:EE16)</f>
        <v>6</v>
      </c>
      <c r="EL16" s="12" t="n">
        <v>34</v>
      </c>
      <c r="EN16" s="12" t="n">
        <v>1</v>
      </c>
      <c r="EO16" s="12" t="n">
        <v>2</v>
      </c>
      <c r="EP16" s="12" t="n">
        <v>0</v>
      </c>
      <c r="EQ16" s="12" t="n">
        <v>0</v>
      </c>
      <c r="ER16" s="12" t="n">
        <v>1</v>
      </c>
      <c r="ES16" s="12" t="n">
        <v>0</v>
      </c>
      <c r="ET16" s="13"/>
      <c r="EU16" s="12" t="n">
        <v>1</v>
      </c>
      <c r="EV16" s="12" t="n">
        <v>1</v>
      </c>
      <c r="EX16" s="12" t="n">
        <v>1</v>
      </c>
      <c r="EZ16" s="12" t="n">
        <v>1</v>
      </c>
      <c r="FC16" s="12" t="n">
        <v>1</v>
      </c>
      <c r="FD16" s="12" t="n">
        <v>1</v>
      </c>
      <c r="FF16" s="12" t="n">
        <v>1</v>
      </c>
      <c r="FH16" s="13"/>
      <c r="FI16" s="12" t="n">
        <f aca="false">COUNT(EU16:FG16)</f>
        <v>7</v>
      </c>
      <c r="FN16" s="12" t="n">
        <v>18</v>
      </c>
      <c r="FP16" s="12" t="n">
        <v>0</v>
      </c>
      <c r="FQ16" s="12" t="n">
        <v>1</v>
      </c>
      <c r="FR16" s="12" t="n">
        <v>1</v>
      </c>
      <c r="FS16" s="12" t="n">
        <v>0</v>
      </c>
      <c r="FT16" s="12" t="n">
        <v>0</v>
      </c>
      <c r="FU16" s="12" t="n">
        <v>0</v>
      </c>
      <c r="FV16" s="13"/>
      <c r="FW16" s="12" t="n">
        <v>1</v>
      </c>
      <c r="GA16" s="12" t="n">
        <v>1</v>
      </c>
      <c r="GB16" s="12" t="n">
        <v>1</v>
      </c>
      <c r="GG16" s="12" t="n">
        <v>1</v>
      </c>
      <c r="GJ16" s="13"/>
      <c r="GK16" s="12" t="n">
        <f aca="false">COUNT(FW16:GI16)</f>
        <v>4</v>
      </c>
      <c r="GP16" s="12" t="n">
        <v>18</v>
      </c>
      <c r="GQ16" s="12"/>
      <c r="GR16" s="12" t="n">
        <v>0</v>
      </c>
      <c r="GS16" s="12" t="n">
        <v>1</v>
      </c>
      <c r="GT16" s="12" t="n">
        <v>1</v>
      </c>
      <c r="GU16" s="12" t="n">
        <v>0</v>
      </c>
      <c r="GV16" s="12" t="n">
        <v>0</v>
      </c>
      <c r="GW16" s="12" t="n">
        <v>0</v>
      </c>
      <c r="GX16" s="13"/>
      <c r="GY16" s="12" t="n">
        <v>1</v>
      </c>
      <c r="GZ16" s="12"/>
      <c r="HA16" s="12"/>
      <c r="HB16" s="12"/>
      <c r="HC16" s="12" t="n">
        <v>1</v>
      </c>
      <c r="HD16" s="12" t="n">
        <v>1</v>
      </c>
      <c r="HE16" s="12"/>
      <c r="HF16" s="12"/>
      <c r="HG16" s="12"/>
      <c r="HH16" s="12"/>
      <c r="HI16" s="12" t="n">
        <v>1</v>
      </c>
      <c r="HJ16" s="12"/>
      <c r="HK16" s="12"/>
      <c r="HL16" s="13"/>
      <c r="HM16" s="12" t="n">
        <f aca="false">COUNT(GY16:HK16)</f>
        <v>4</v>
      </c>
    </row>
    <row r="17" customFormat="false" ht="18.3" hidden="false" customHeight="true" outlineLevel="0" collapsed="false">
      <c r="B17" s="12" t="n">
        <v>13</v>
      </c>
      <c r="D17" s="12" t="n">
        <v>4</v>
      </c>
      <c r="E17" s="12" t="n">
        <v>1</v>
      </c>
      <c r="F17" s="12" t="n">
        <v>0</v>
      </c>
      <c r="G17" s="12" t="n">
        <v>0</v>
      </c>
      <c r="H17" s="12" t="n">
        <v>0</v>
      </c>
      <c r="I17" s="12" t="n">
        <v>0</v>
      </c>
      <c r="J17" s="13"/>
      <c r="K17" s="12" t="n">
        <v>1</v>
      </c>
      <c r="M17" s="12" t="n">
        <v>1</v>
      </c>
      <c r="O17" s="12" t="n">
        <v>1</v>
      </c>
      <c r="P17" s="12" t="n">
        <v>1</v>
      </c>
      <c r="S17" s="12" t="n">
        <v>1</v>
      </c>
      <c r="U17" s="12" t="n">
        <v>1</v>
      </c>
      <c r="X17" s="13"/>
      <c r="Y17" s="12" t="n">
        <f aca="false">COUNT(K17:W17)</f>
        <v>6</v>
      </c>
      <c r="AD17" s="12" t="n">
        <v>13</v>
      </c>
      <c r="AF17" s="12" t="n">
        <v>4</v>
      </c>
      <c r="AG17" s="12" t="n">
        <v>1</v>
      </c>
      <c r="AH17" s="12" t="n">
        <v>0</v>
      </c>
      <c r="AI17" s="12" t="n">
        <v>0</v>
      </c>
      <c r="AJ17" s="12" t="n">
        <v>0</v>
      </c>
      <c r="AK17" s="12" t="n">
        <v>0</v>
      </c>
      <c r="AL17" s="13"/>
      <c r="AM17" s="12" t="n">
        <v>1</v>
      </c>
      <c r="AO17" s="12" t="n">
        <v>1</v>
      </c>
      <c r="AQ17" s="12" t="n">
        <v>1</v>
      </c>
      <c r="AR17" s="12" t="n">
        <v>1</v>
      </c>
      <c r="AU17" s="12" t="n">
        <v>1</v>
      </c>
      <c r="AW17" s="12" t="n">
        <v>1</v>
      </c>
      <c r="AZ17" s="13"/>
      <c r="BA17" s="12" t="n">
        <f aca="false">COUNT(AM17:AY17)</f>
        <v>6</v>
      </c>
      <c r="BF17" s="12" t="n">
        <v>13</v>
      </c>
      <c r="BH17" s="12" t="n">
        <v>4</v>
      </c>
      <c r="BI17" s="12" t="n">
        <v>1</v>
      </c>
      <c r="BJ17" s="12" t="n">
        <v>0</v>
      </c>
      <c r="BK17" s="12" t="n">
        <v>0</v>
      </c>
      <c r="BL17" s="12" t="n">
        <v>0</v>
      </c>
      <c r="BM17" s="12" t="n">
        <v>0</v>
      </c>
      <c r="BN17" s="13"/>
      <c r="BO17" s="12" t="n">
        <v>1</v>
      </c>
      <c r="BQ17" s="12" t="n">
        <v>1</v>
      </c>
      <c r="BS17" s="12" t="n">
        <v>1</v>
      </c>
      <c r="BT17" s="12" t="n">
        <v>1</v>
      </c>
      <c r="BW17" s="12" t="n">
        <v>1</v>
      </c>
      <c r="BY17" s="12" t="n">
        <v>1</v>
      </c>
      <c r="CB17" s="13"/>
      <c r="CC17" s="12" t="n">
        <f aca="false">COUNT(BO17:CA17)</f>
        <v>6</v>
      </c>
      <c r="CH17" s="12" t="n">
        <v>14</v>
      </c>
      <c r="CJ17" s="12" t="n">
        <v>3</v>
      </c>
      <c r="CK17" s="12" t="n">
        <v>2</v>
      </c>
      <c r="CL17" s="12" t="n">
        <v>0</v>
      </c>
      <c r="CM17" s="12" t="n">
        <v>0</v>
      </c>
      <c r="CN17" s="12" t="n">
        <v>0</v>
      </c>
      <c r="CO17" s="12" t="n">
        <v>0</v>
      </c>
      <c r="CP17" s="13"/>
      <c r="CQ17" s="12" t="n">
        <v>1</v>
      </c>
      <c r="CS17" s="12" t="n">
        <v>1</v>
      </c>
      <c r="CU17" s="12" t="n">
        <v>1</v>
      </c>
      <c r="CY17" s="12" t="n">
        <v>1</v>
      </c>
      <c r="DA17" s="12" t="n">
        <v>1</v>
      </c>
      <c r="DB17" s="12" t="n">
        <v>1</v>
      </c>
      <c r="DD17" s="13"/>
      <c r="DE17" s="12" t="n">
        <f aca="false">COUNT(CQ17:DC17)</f>
        <v>6</v>
      </c>
      <c r="DJ17" s="12" t="n">
        <v>14</v>
      </c>
      <c r="DL17" s="12" t="n">
        <v>3</v>
      </c>
      <c r="DM17" s="12" t="n">
        <v>2</v>
      </c>
      <c r="DN17" s="12" t="n">
        <v>0</v>
      </c>
      <c r="DO17" s="12" t="n">
        <v>0</v>
      </c>
      <c r="DP17" s="12" t="n">
        <v>0</v>
      </c>
      <c r="DQ17" s="12" t="n">
        <v>0</v>
      </c>
      <c r="DR17" s="13"/>
      <c r="DS17" s="12" t="n">
        <v>1</v>
      </c>
      <c r="DU17" s="12" t="n">
        <v>1</v>
      </c>
      <c r="DW17" s="12" t="n">
        <v>1</v>
      </c>
      <c r="EA17" s="12" t="n">
        <v>1</v>
      </c>
      <c r="EC17" s="12" t="n">
        <v>1</v>
      </c>
      <c r="ED17" s="12" t="n">
        <v>1</v>
      </c>
      <c r="EF17" s="13"/>
      <c r="EG17" s="12" t="n">
        <f aca="false">COUNT(DS17:EE17)</f>
        <v>6</v>
      </c>
      <c r="EL17" s="12" t="n">
        <v>35</v>
      </c>
      <c r="EN17" s="12" t="n">
        <v>1</v>
      </c>
      <c r="EO17" s="12" t="n">
        <v>5</v>
      </c>
      <c r="EP17" s="12" t="n">
        <v>0</v>
      </c>
      <c r="EQ17" s="12" t="n">
        <v>0</v>
      </c>
      <c r="ER17" s="12" t="n">
        <v>0</v>
      </c>
      <c r="ES17" s="12" t="n">
        <v>0</v>
      </c>
      <c r="ET17" s="13"/>
      <c r="EU17" s="12" t="n">
        <v>1</v>
      </c>
      <c r="EV17" s="12" t="n">
        <v>1</v>
      </c>
      <c r="EX17" s="12" t="n">
        <v>1</v>
      </c>
      <c r="EZ17" s="12" t="n">
        <v>1</v>
      </c>
      <c r="FC17" s="12" t="n">
        <v>1</v>
      </c>
      <c r="FD17" s="12" t="n">
        <v>1</v>
      </c>
      <c r="FF17" s="12" t="n">
        <v>1</v>
      </c>
      <c r="FH17" s="13"/>
      <c r="FI17" s="12" t="n">
        <f aca="false">COUNT(EU17:FG17)</f>
        <v>7</v>
      </c>
      <c r="FN17" s="12" t="n">
        <v>22</v>
      </c>
      <c r="FP17" s="12" t="n">
        <v>0</v>
      </c>
      <c r="FQ17" s="12" t="n">
        <v>2</v>
      </c>
      <c r="FR17" s="12" t="n">
        <v>0</v>
      </c>
      <c r="FS17" s="12" t="n">
        <v>0</v>
      </c>
      <c r="FT17" s="12" t="n">
        <v>0</v>
      </c>
      <c r="FU17" s="12" t="n">
        <v>1</v>
      </c>
      <c r="FV17" s="13"/>
      <c r="FW17" s="12" t="n">
        <v>1</v>
      </c>
      <c r="FY17" s="12" t="n">
        <v>1</v>
      </c>
      <c r="GB17" s="12" t="n">
        <v>1</v>
      </c>
      <c r="GE17" s="12" t="n">
        <v>1</v>
      </c>
      <c r="GG17" s="12" t="n">
        <v>1</v>
      </c>
      <c r="GH17" s="12" t="n">
        <v>1</v>
      </c>
      <c r="GJ17" s="13"/>
      <c r="GK17" s="12" t="n">
        <f aca="false">COUNT(FW17:GI17)</f>
        <v>6</v>
      </c>
      <c r="GP17" s="12" t="n">
        <v>21</v>
      </c>
      <c r="GQ17" s="12"/>
      <c r="GR17" s="12" t="n">
        <v>3</v>
      </c>
      <c r="GS17" s="12" t="n">
        <v>3</v>
      </c>
      <c r="GT17" s="12" t="n">
        <v>0</v>
      </c>
      <c r="GU17" s="12" t="n">
        <v>0</v>
      </c>
      <c r="GV17" s="12" t="n">
        <v>0</v>
      </c>
      <c r="GW17" s="12" t="n">
        <v>0</v>
      </c>
      <c r="GX17" s="13"/>
      <c r="GY17" s="12" t="n">
        <v>1</v>
      </c>
      <c r="GZ17" s="12"/>
      <c r="HA17" s="12" t="n">
        <v>1</v>
      </c>
      <c r="HB17" s="12" t="n">
        <v>1</v>
      </c>
      <c r="HC17" s="12"/>
      <c r="HD17" s="12" t="n">
        <v>1</v>
      </c>
      <c r="HE17" s="12"/>
      <c r="HF17" s="12"/>
      <c r="HG17" s="12" t="n">
        <v>1</v>
      </c>
      <c r="HH17" s="12"/>
      <c r="HI17" s="12" t="n">
        <v>1</v>
      </c>
      <c r="HJ17" s="12" t="n">
        <v>1</v>
      </c>
      <c r="HK17" s="12"/>
      <c r="HL17" s="13"/>
      <c r="HM17" s="12" t="n">
        <f aca="false">COUNT(GY17:HK17)</f>
        <v>7</v>
      </c>
    </row>
    <row r="18" customFormat="false" ht="18.3" hidden="false" customHeight="true" outlineLevel="0" collapsed="false">
      <c r="B18" s="12" t="n">
        <v>14</v>
      </c>
      <c r="D18" s="12" t="n">
        <v>3</v>
      </c>
      <c r="E18" s="12" t="n">
        <v>2</v>
      </c>
      <c r="F18" s="12" t="n">
        <v>0</v>
      </c>
      <c r="G18" s="12" t="n">
        <v>0</v>
      </c>
      <c r="H18" s="12" t="n">
        <v>0</v>
      </c>
      <c r="I18" s="12" t="n">
        <v>0</v>
      </c>
      <c r="J18" s="13"/>
      <c r="K18" s="12" t="n">
        <v>1</v>
      </c>
      <c r="M18" s="12" t="n">
        <v>1</v>
      </c>
      <c r="O18" s="12" t="n">
        <v>1</v>
      </c>
      <c r="S18" s="12" t="n">
        <v>1</v>
      </c>
      <c r="U18" s="12" t="n">
        <v>1</v>
      </c>
      <c r="V18" s="12" t="n">
        <v>1</v>
      </c>
      <c r="X18" s="13"/>
      <c r="Y18" s="12" t="n">
        <f aca="false">COUNT(K18:W18)</f>
        <v>6</v>
      </c>
      <c r="AD18" s="12" t="n">
        <v>14</v>
      </c>
      <c r="AF18" s="12" t="n">
        <v>3</v>
      </c>
      <c r="AG18" s="12" t="n">
        <v>2</v>
      </c>
      <c r="AH18" s="12" t="n">
        <v>0</v>
      </c>
      <c r="AI18" s="12" t="n">
        <v>0</v>
      </c>
      <c r="AJ18" s="12" t="n">
        <v>0</v>
      </c>
      <c r="AK18" s="12" t="n">
        <v>0</v>
      </c>
      <c r="AL18" s="13"/>
      <c r="AM18" s="12" t="n">
        <v>1</v>
      </c>
      <c r="AO18" s="12" t="n">
        <v>1</v>
      </c>
      <c r="AQ18" s="12" t="n">
        <v>1</v>
      </c>
      <c r="AU18" s="12" t="n">
        <v>1</v>
      </c>
      <c r="AW18" s="12" t="n">
        <v>1</v>
      </c>
      <c r="AX18" s="12" t="n">
        <v>1</v>
      </c>
      <c r="AZ18" s="13"/>
      <c r="BA18" s="12" t="n">
        <f aca="false">COUNT(AM18:AY18)</f>
        <v>6</v>
      </c>
      <c r="BF18" s="12" t="n">
        <v>14</v>
      </c>
      <c r="BH18" s="12" t="n">
        <v>3</v>
      </c>
      <c r="BI18" s="12" t="n">
        <v>2</v>
      </c>
      <c r="BJ18" s="12" t="n">
        <v>0</v>
      </c>
      <c r="BK18" s="12" t="n">
        <v>0</v>
      </c>
      <c r="BL18" s="12" t="n">
        <v>0</v>
      </c>
      <c r="BM18" s="12" t="n">
        <v>0</v>
      </c>
      <c r="BN18" s="13"/>
      <c r="BO18" s="12" t="n">
        <v>1</v>
      </c>
      <c r="BQ18" s="12" t="n">
        <v>1</v>
      </c>
      <c r="BS18" s="12" t="n">
        <v>1</v>
      </c>
      <c r="BW18" s="12" t="n">
        <v>1</v>
      </c>
      <c r="BY18" s="12" t="n">
        <v>1</v>
      </c>
      <c r="BZ18" s="12" t="n">
        <v>1</v>
      </c>
      <c r="CB18" s="13"/>
      <c r="CC18" s="12" t="n">
        <f aca="false">COUNT(BO18:CA18)</f>
        <v>6</v>
      </c>
      <c r="CH18" s="12" t="n">
        <v>15</v>
      </c>
      <c r="CJ18" s="12" t="n">
        <v>4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3"/>
      <c r="CQ18" s="12" t="n">
        <v>1</v>
      </c>
      <c r="CS18" s="12" t="n">
        <v>1</v>
      </c>
      <c r="CU18" s="12" t="n">
        <v>1</v>
      </c>
      <c r="CY18" s="12" t="n">
        <v>1</v>
      </c>
      <c r="DA18" s="12" t="n">
        <v>1</v>
      </c>
      <c r="DD18" s="13"/>
      <c r="DE18" s="12" t="n">
        <f aca="false">COUNT(CQ18:DC18)</f>
        <v>5</v>
      </c>
      <c r="DJ18" s="12" t="n">
        <v>16</v>
      </c>
      <c r="DL18" s="12" t="n">
        <v>0</v>
      </c>
      <c r="DM18" s="12" t="n">
        <v>2</v>
      </c>
      <c r="DN18" s="12" t="n">
        <v>1</v>
      </c>
      <c r="DO18" s="12" t="n">
        <v>0</v>
      </c>
      <c r="DP18" s="12" t="n">
        <v>0</v>
      </c>
      <c r="DQ18" s="12" t="n">
        <v>0</v>
      </c>
      <c r="DR18" s="13"/>
      <c r="DS18" s="12" t="n">
        <v>1</v>
      </c>
      <c r="DU18" s="12" t="n">
        <v>1</v>
      </c>
      <c r="DW18" s="12" t="n">
        <v>1</v>
      </c>
      <c r="DX18" s="12" t="n">
        <v>1</v>
      </c>
      <c r="EC18" s="12" t="n">
        <v>1</v>
      </c>
      <c r="ED18" s="12" t="n">
        <v>1</v>
      </c>
      <c r="EF18" s="13"/>
      <c r="EG18" s="12" t="n">
        <f aca="false">COUNT(DS18:EE18)</f>
        <v>6</v>
      </c>
      <c r="EL18" s="12" t="n">
        <v>45</v>
      </c>
      <c r="EN18" s="12" t="n">
        <v>0</v>
      </c>
      <c r="EO18" s="12" t="n">
        <v>3</v>
      </c>
      <c r="EP18" s="12" t="n">
        <v>0</v>
      </c>
      <c r="EQ18" s="12" t="n">
        <v>0</v>
      </c>
      <c r="ER18" s="12" t="n">
        <v>1</v>
      </c>
      <c r="ES18" s="12" t="n">
        <v>0</v>
      </c>
      <c r="ET18" s="13"/>
      <c r="EU18" s="12" t="n">
        <v>1</v>
      </c>
      <c r="EV18" s="12" t="n">
        <v>1</v>
      </c>
      <c r="EX18" s="12" t="n">
        <v>1</v>
      </c>
      <c r="EZ18" s="12" t="n">
        <v>1</v>
      </c>
      <c r="FB18" s="12" t="n">
        <v>1</v>
      </c>
      <c r="FD18" s="12" t="n">
        <v>1</v>
      </c>
      <c r="FF18" s="12" t="n">
        <v>1</v>
      </c>
      <c r="FH18" s="13"/>
      <c r="FI18" s="12" t="n">
        <f aca="false">COUNT(EU18:FG18)</f>
        <v>7</v>
      </c>
      <c r="FN18" s="12" t="n">
        <v>23</v>
      </c>
      <c r="FP18" s="12" t="n">
        <v>3</v>
      </c>
      <c r="FQ18" s="12" t="n">
        <v>1</v>
      </c>
      <c r="FR18" s="12" t="n">
        <v>0</v>
      </c>
      <c r="FS18" s="12" t="n">
        <v>0</v>
      </c>
      <c r="FT18" s="12" t="n">
        <v>0</v>
      </c>
      <c r="FU18" s="12" t="n">
        <v>0</v>
      </c>
      <c r="FV18" s="13"/>
      <c r="FW18" s="12" t="n">
        <v>1</v>
      </c>
      <c r="FY18" s="12" t="n">
        <v>1</v>
      </c>
      <c r="GB18" s="12" t="n">
        <v>1</v>
      </c>
      <c r="GE18" s="12" t="n">
        <v>1</v>
      </c>
      <c r="GG18" s="12" t="n">
        <v>1</v>
      </c>
      <c r="GJ18" s="13"/>
      <c r="GK18" s="12" t="n">
        <f aca="false">COUNT(FW18:GI18)</f>
        <v>5</v>
      </c>
      <c r="GP18" s="12" t="n">
        <v>23</v>
      </c>
      <c r="GQ18" s="12"/>
      <c r="GR18" s="12" t="n">
        <v>3</v>
      </c>
      <c r="GS18" s="12" t="n">
        <v>1</v>
      </c>
      <c r="GT18" s="12" t="n">
        <v>0</v>
      </c>
      <c r="GU18" s="12" t="n">
        <v>0</v>
      </c>
      <c r="GV18" s="12" t="n">
        <v>0</v>
      </c>
      <c r="GW18" s="12" t="n">
        <v>0</v>
      </c>
      <c r="GX18" s="13"/>
      <c r="GY18" s="12" t="n">
        <v>1</v>
      </c>
      <c r="GZ18" s="12"/>
      <c r="HA18" s="12" t="n">
        <v>1</v>
      </c>
      <c r="HB18" s="12"/>
      <c r="HC18" s="12"/>
      <c r="HD18" s="12" t="n">
        <v>1</v>
      </c>
      <c r="HE18" s="12"/>
      <c r="HF18" s="12"/>
      <c r="HG18" s="12" t="n">
        <v>1</v>
      </c>
      <c r="HH18" s="12"/>
      <c r="HI18" s="12" t="n">
        <v>1</v>
      </c>
      <c r="HJ18" s="12"/>
      <c r="HK18" s="12"/>
      <c r="HL18" s="13"/>
      <c r="HM18" s="12" t="n">
        <f aca="false">COUNT(GY18:HK18)</f>
        <v>5</v>
      </c>
    </row>
    <row r="19" customFormat="false" ht="18.3" hidden="false" customHeight="true" outlineLevel="0" collapsed="false">
      <c r="B19" s="12" t="n">
        <v>15</v>
      </c>
      <c r="D19" s="12" t="n">
        <v>4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3"/>
      <c r="K19" s="12" t="n">
        <v>1</v>
      </c>
      <c r="M19" s="12" t="n">
        <v>1</v>
      </c>
      <c r="O19" s="12" t="n">
        <v>1</v>
      </c>
      <c r="S19" s="12" t="n">
        <v>1</v>
      </c>
      <c r="U19" s="12" t="n">
        <v>1</v>
      </c>
      <c r="X19" s="13"/>
      <c r="Y19" s="12" t="n">
        <f aca="false">COUNT(K19:W19)</f>
        <v>5</v>
      </c>
      <c r="AD19" s="12" t="n">
        <v>15</v>
      </c>
      <c r="AF19" s="12" t="n">
        <v>4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3"/>
      <c r="AM19" s="12" t="n">
        <v>1</v>
      </c>
      <c r="AO19" s="12" t="n">
        <v>1</v>
      </c>
      <c r="AQ19" s="12" t="n">
        <v>1</v>
      </c>
      <c r="AU19" s="12" t="n">
        <v>1</v>
      </c>
      <c r="AW19" s="12" t="n">
        <v>1</v>
      </c>
      <c r="AZ19" s="13"/>
      <c r="BA19" s="12" t="n">
        <f aca="false">COUNT(AM19:AY19)</f>
        <v>5</v>
      </c>
      <c r="BF19" s="12" t="n">
        <v>15</v>
      </c>
      <c r="BH19" s="12" t="n">
        <v>4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3"/>
      <c r="BO19" s="12" t="n">
        <v>1</v>
      </c>
      <c r="BQ19" s="12" t="n">
        <v>1</v>
      </c>
      <c r="BS19" s="12" t="n">
        <v>1</v>
      </c>
      <c r="BW19" s="12" t="n">
        <v>1</v>
      </c>
      <c r="BY19" s="12" t="n">
        <v>1</v>
      </c>
      <c r="CB19" s="13"/>
      <c r="CC19" s="12" t="n">
        <f aca="false">COUNT(BO19:CA19)</f>
        <v>5</v>
      </c>
      <c r="CH19" s="12" t="n">
        <v>16</v>
      </c>
      <c r="CJ19" s="12" t="n">
        <v>0</v>
      </c>
      <c r="CK19" s="12" t="n">
        <v>2</v>
      </c>
      <c r="CL19" s="12" t="n">
        <v>1</v>
      </c>
      <c r="CM19" s="12" t="n">
        <v>0</v>
      </c>
      <c r="CN19" s="12" t="n">
        <v>0</v>
      </c>
      <c r="CO19" s="12" t="n">
        <v>0</v>
      </c>
      <c r="CP19" s="13"/>
      <c r="CQ19" s="12" t="n">
        <v>1</v>
      </c>
      <c r="CS19" s="12" t="n">
        <v>1</v>
      </c>
      <c r="CU19" s="12" t="n">
        <v>1</v>
      </c>
      <c r="CV19" s="12" t="n">
        <v>1</v>
      </c>
      <c r="DA19" s="12" t="n">
        <v>1</v>
      </c>
      <c r="DB19" s="12" t="n">
        <v>1</v>
      </c>
      <c r="DD19" s="13"/>
      <c r="DE19" s="12" t="n">
        <f aca="false">COUNT(CQ19:DC19)</f>
        <v>6</v>
      </c>
      <c r="DJ19" s="12" t="n">
        <v>19</v>
      </c>
      <c r="DL19" s="12" t="n">
        <v>3</v>
      </c>
      <c r="DM19" s="12" t="n">
        <v>0</v>
      </c>
      <c r="DN19" s="12" t="n">
        <v>0</v>
      </c>
      <c r="DO19" s="12" t="n">
        <v>0</v>
      </c>
      <c r="DP19" s="12" t="n">
        <v>1</v>
      </c>
      <c r="DQ19" s="12" t="n">
        <v>0</v>
      </c>
      <c r="DR19" s="13"/>
      <c r="DS19" s="12" t="n">
        <v>1</v>
      </c>
      <c r="DU19" s="12" t="n">
        <v>1</v>
      </c>
      <c r="DV19" s="12" t="n">
        <v>1</v>
      </c>
      <c r="DX19" s="12" t="n">
        <v>1</v>
      </c>
      <c r="EA19" s="12" t="n">
        <v>1</v>
      </c>
      <c r="EC19" s="12" t="n">
        <v>1</v>
      </c>
      <c r="ED19" s="12" t="n">
        <v>1</v>
      </c>
      <c r="EF19" s="13"/>
      <c r="EG19" s="12" t="n">
        <f aca="false">COUNT(DS19:EE19)</f>
        <v>7</v>
      </c>
      <c r="FN19" s="12" t="n">
        <v>24</v>
      </c>
      <c r="FP19" s="12" t="n">
        <v>3</v>
      </c>
      <c r="FQ19" s="12" t="n">
        <v>0</v>
      </c>
      <c r="FR19" s="12" t="n">
        <v>0</v>
      </c>
      <c r="FS19" s="12" t="n">
        <v>0</v>
      </c>
      <c r="FT19" s="12" t="n">
        <v>0</v>
      </c>
      <c r="FU19" s="12" t="n">
        <v>0</v>
      </c>
      <c r="FV19" s="13"/>
      <c r="FW19" s="12" t="n">
        <v>1</v>
      </c>
      <c r="FY19" s="12" t="n">
        <v>1</v>
      </c>
      <c r="GE19" s="12" t="n">
        <v>1</v>
      </c>
      <c r="GG19" s="12" t="n">
        <v>1</v>
      </c>
      <c r="GJ19" s="13"/>
      <c r="GK19" s="12" t="n">
        <f aca="false">COUNT(FW19:GI19)</f>
        <v>4</v>
      </c>
      <c r="GP19" s="12" t="n">
        <v>24</v>
      </c>
      <c r="GQ19" s="12"/>
      <c r="GR19" s="12" t="n">
        <v>3</v>
      </c>
      <c r="GS19" s="12" t="n">
        <v>0</v>
      </c>
      <c r="GT19" s="12" t="n">
        <v>0</v>
      </c>
      <c r="GU19" s="12" t="n">
        <v>0</v>
      </c>
      <c r="GV19" s="12" t="n">
        <v>0</v>
      </c>
      <c r="GW19" s="12" t="n">
        <v>0</v>
      </c>
      <c r="GX19" s="13"/>
      <c r="GY19" s="12" t="n">
        <v>1</v>
      </c>
      <c r="GZ19" s="12"/>
      <c r="HA19" s="12" t="n">
        <v>1</v>
      </c>
      <c r="HB19" s="12"/>
      <c r="HC19" s="12"/>
      <c r="HD19" s="12"/>
      <c r="HE19" s="12"/>
      <c r="HF19" s="12"/>
      <c r="HG19" s="12" t="n">
        <v>1</v>
      </c>
      <c r="HH19" s="12"/>
      <c r="HI19" s="12" t="n">
        <v>1</v>
      </c>
      <c r="HJ19" s="12"/>
      <c r="HK19" s="12"/>
      <c r="HL19" s="13"/>
      <c r="HM19" s="12" t="n">
        <f aca="false">COUNT(GY19:HK19)</f>
        <v>4</v>
      </c>
    </row>
    <row r="20" customFormat="false" ht="18.3" hidden="false" customHeight="true" outlineLevel="0" collapsed="false">
      <c r="B20" s="12" t="n">
        <v>16</v>
      </c>
      <c r="D20" s="12" t="n">
        <v>0</v>
      </c>
      <c r="E20" s="12" t="n">
        <v>2</v>
      </c>
      <c r="F20" s="12" t="n">
        <v>1</v>
      </c>
      <c r="G20" s="12" t="n">
        <v>0</v>
      </c>
      <c r="H20" s="12" t="n">
        <v>0</v>
      </c>
      <c r="I20" s="12" t="n">
        <v>0</v>
      </c>
      <c r="J20" s="13"/>
      <c r="K20" s="12" t="n">
        <v>1</v>
      </c>
      <c r="M20" s="12" t="n">
        <v>1</v>
      </c>
      <c r="O20" s="12" t="n">
        <v>1</v>
      </c>
      <c r="P20" s="12" t="n">
        <v>1</v>
      </c>
      <c r="U20" s="12" t="n">
        <v>1</v>
      </c>
      <c r="V20" s="12" t="n">
        <v>1</v>
      </c>
      <c r="X20" s="13"/>
      <c r="Y20" s="12" t="n">
        <f aca="false">COUNT(K20:W20)</f>
        <v>6</v>
      </c>
      <c r="AD20" s="12" t="n">
        <v>16</v>
      </c>
      <c r="AF20" s="12" t="n">
        <v>0</v>
      </c>
      <c r="AG20" s="12" t="n">
        <v>2</v>
      </c>
      <c r="AH20" s="12" t="n">
        <v>1</v>
      </c>
      <c r="AI20" s="12" t="n">
        <v>0</v>
      </c>
      <c r="AJ20" s="12" t="n">
        <v>0</v>
      </c>
      <c r="AK20" s="12" t="n">
        <v>0</v>
      </c>
      <c r="AL20" s="13"/>
      <c r="AM20" s="12" t="n">
        <v>1</v>
      </c>
      <c r="AO20" s="12" t="n">
        <v>1</v>
      </c>
      <c r="AQ20" s="12" t="n">
        <v>1</v>
      </c>
      <c r="AR20" s="12" t="n">
        <v>1</v>
      </c>
      <c r="AW20" s="12" t="n">
        <v>1</v>
      </c>
      <c r="AX20" s="12" t="n">
        <v>1</v>
      </c>
      <c r="AZ20" s="13"/>
      <c r="BA20" s="12" t="n">
        <f aca="false">COUNT(AM20:AY20)</f>
        <v>6</v>
      </c>
      <c r="BF20" s="12" t="n">
        <v>16</v>
      </c>
      <c r="BH20" s="12" t="n">
        <v>0</v>
      </c>
      <c r="BI20" s="12" t="n">
        <v>2</v>
      </c>
      <c r="BJ20" s="12" t="n">
        <v>1</v>
      </c>
      <c r="BK20" s="12" t="n">
        <v>0</v>
      </c>
      <c r="BL20" s="12" t="n">
        <v>0</v>
      </c>
      <c r="BM20" s="12" t="n">
        <v>0</v>
      </c>
      <c r="BN20" s="13"/>
      <c r="BO20" s="12" t="n">
        <v>1</v>
      </c>
      <c r="BQ20" s="12" t="n">
        <v>1</v>
      </c>
      <c r="BS20" s="12" t="n">
        <v>1</v>
      </c>
      <c r="BT20" s="12" t="n">
        <v>1</v>
      </c>
      <c r="BY20" s="12" t="n">
        <v>1</v>
      </c>
      <c r="BZ20" s="12" t="n">
        <v>1</v>
      </c>
      <c r="CB20" s="13"/>
      <c r="CC20" s="12" t="n">
        <f aca="false">COUNT(BO20:CA20)</f>
        <v>6</v>
      </c>
      <c r="CH20" s="12" t="n">
        <v>19</v>
      </c>
      <c r="CJ20" s="12" t="n">
        <v>3</v>
      </c>
      <c r="CK20" s="12" t="n">
        <v>0</v>
      </c>
      <c r="CL20" s="12" t="n">
        <v>0</v>
      </c>
      <c r="CM20" s="12" t="n">
        <v>0</v>
      </c>
      <c r="CN20" s="12" t="n">
        <v>1</v>
      </c>
      <c r="CO20" s="12" t="n">
        <v>0</v>
      </c>
      <c r="CP20" s="13"/>
      <c r="CQ20" s="12" t="n">
        <v>1</v>
      </c>
      <c r="CS20" s="12" t="n">
        <v>1</v>
      </c>
      <c r="CT20" s="12" t="n">
        <v>1</v>
      </c>
      <c r="CV20" s="12" t="n">
        <v>1</v>
      </c>
      <c r="CY20" s="12" t="n">
        <v>1</v>
      </c>
      <c r="DA20" s="12" t="n">
        <v>1</v>
      </c>
      <c r="DB20" s="12" t="n">
        <v>1</v>
      </c>
      <c r="DD20" s="13"/>
      <c r="DE20" s="12" t="n">
        <f aca="false">COUNT(CQ20:DC20)</f>
        <v>7</v>
      </c>
      <c r="DJ20" s="12" t="n">
        <v>20</v>
      </c>
      <c r="DL20" s="12" t="n">
        <v>0</v>
      </c>
      <c r="DM20" s="12" t="n">
        <v>3</v>
      </c>
      <c r="DN20" s="12" t="n">
        <v>0</v>
      </c>
      <c r="DO20" s="12" t="n">
        <v>0</v>
      </c>
      <c r="DP20" s="12" t="n">
        <v>0</v>
      </c>
      <c r="DQ20" s="12" t="n">
        <v>1</v>
      </c>
      <c r="DR20" s="13"/>
      <c r="DS20" s="12" t="n">
        <v>1</v>
      </c>
      <c r="DU20" s="12" t="n">
        <v>1</v>
      </c>
      <c r="DV20" s="12" t="n">
        <v>1</v>
      </c>
      <c r="DX20" s="12" t="n">
        <v>1</v>
      </c>
      <c r="EA20" s="12" t="n">
        <v>1</v>
      </c>
      <c r="EC20" s="12" t="n">
        <v>1</v>
      </c>
      <c r="ED20" s="12" t="n">
        <v>1</v>
      </c>
      <c r="EF20" s="13"/>
      <c r="EG20" s="12" t="n">
        <f aca="false">COUNT(DS20:EE20)</f>
        <v>7</v>
      </c>
      <c r="FN20" s="12" t="n">
        <v>25</v>
      </c>
      <c r="FP20" s="12" t="n">
        <v>0</v>
      </c>
      <c r="FQ20" s="12" t="n">
        <v>1</v>
      </c>
      <c r="FR20" s="12" t="n">
        <v>0</v>
      </c>
      <c r="FS20" s="12" t="n">
        <v>0</v>
      </c>
      <c r="FT20" s="12" t="n">
        <v>0</v>
      </c>
      <c r="FU20" s="12" t="n">
        <v>1</v>
      </c>
      <c r="FV20" s="13"/>
      <c r="FW20" s="12" t="n">
        <v>1</v>
      </c>
      <c r="FY20" s="12" t="n">
        <v>1</v>
      </c>
      <c r="GB20" s="12" t="n">
        <v>1</v>
      </c>
      <c r="GG20" s="12" t="n">
        <v>1</v>
      </c>
      <c r="GJ20" s="13"/>
      <c r="GK20" s="12" t="n">
        <f aca="false">COUNT(FW20:GI20)</f>
        <v>4</v>
      </c>
      <c r="GP20" s="12" t="n">
        <v>27</v>
      </c>
      <c r="GQ20" s="12"/>
      <c r="GR20" s="12" t="n">
        <v>2</v>
      </c>
      <c r="GS20" s="12" t="n">
        <v>4</v>
      </c>
      <c r="GT20" s="12" t="n">
        <v>0</v>
      </c>
      <c r="GU20" s="12" t="n">
        <v>0</v>
      </c>
      <c r="GV20" s="12" t="n">
        <v>0</v>
      </c>
      <c r="GW20" s="12" t="n">
        <v>0</v>
      </c>
      <c r="GX20" s="13"/>
      <c r="GY20" s="12" t="n">
        <v>1</v>
      </c>
      <c r="GZ20" s="12"/>
      <c r="HA20" s="12" t="n">
        <v>1</v>
      </c>
      <c r="HB20" s="12" t="n">
        <v>1</v>
      </c>
      <c r="HC20" s="12"/>
      <c r="HD20" s="12" t="n">
        <v>1</v>
      </c>
      <c r="HE20" s="12"/>
      <c r="HF20" s="12"/>
      <c r="HG20" s="12" t="n">
        <v>1</v>
      </c>
      <c r="HH20" s="12" t="n">
        <v>1</v>
      </c>
      <c r="HI20" s="12"/>
      <c r="HJ20" s="12" t="n">
        <v>1</v>
      </c>
      <c r="HK20" s="12"/>
      <c r="HL20" s="13"/>
      <c r="HM20" s="12" t="n">
        <f aca="false">COUNT(GY20:HK20)</f>
        <v>7</v>
      </c>
    </row>
    <row r="21" customFormat="false" ht="18.3" hidden="false" customHeight="true" outlineLevel="0" collapsed="false">
      <c r="B21" s="12" t="n">
        <v>17</v>
      </c>
      <c r="D21" s="12" t="n">
        <v>1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1</v>
      </c>
      <c r="J21" s="13"/>
      <c r="K21" s="12" t="n">
        <v>1</v>
      </c>
      <c r="O21" s="12" t="n">
        <v>1</v>
      </c>
      <c r="S21" s="12" t="n">
        <v>1</v>
      </c>
      <c r="U21" s="12" t="n">
        <v>1</v>
      </c>
      <c r="X21" s="13"/>
      <c r="Y21" s="12" t="n">
        <f aca="false">COUNT(K21:W21)</f>
        <v>4</v>
      </c>
      <c r="AD21" s="12" t="n">
        <v>17</v>
      </c>
      <c r="AF21" s="12" t="n">
        <v>1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1</v>
      </c>
      <c r="AL21" s="13"/>
      <c r="AM21" s="12" t="n">
        <v>1</v>
      </c>
      <c r="AQ21" s="12" t="n">
        <v>1</v>
      </c>
      <c r="AU21" s="12" t="n">
        <v>1</v>
      </c>
      <c r="AW21" s="12" t="n">
        <v>1</v>
      </c>
      <c r="AZ21" s="13"/>
      <c r="BA21" s="12" t="n">
        <f aca="false">COUNT(AM21:AY21)</f>
        <v>4</v>
      </c>
      <c r="BF21" s="12" t="n">
        <v>17</v>
      </c>
      <c r="BH21" s="12" t="n">
        <v>1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1</v>
      </c>
      <c r="BN21" s="13"/>
      <c r="BO21" s="12" t="n">
        <v>1</v>
      </c>
      <c r="BS21" s="12" t="n">
        <v>1</v>
      </c>
      <c r="BW21" s="12" t="n">
        <v>1</v>
      </c>
      <c r="BY21" s="12" t="n">
        <v>1</v>
      </c>
      <c r="CB21" s="13"/>
      <c r="CC21" s="12" t="n">
        <f aca="false">COUNT(BO21:CA21)</f>
        <v>4</v>
      </c>
      <c r="CH21" s="12" t="n">
        <v>20</v>
      </c>
      <c r="CJ21" s="12" t="n">
        <v>0</v>
      </c>
      <c r="CK21" s="12" t="n">
        <v>3</v>
      </c>
      <c r="CL21" s="12" t="n">
        <v>0</v>
      </c>
      <c r="CM21" s="12" t="n">
        <v>0</v>
      </c>
      <c r="CN21" s="12" t="n">
        <v>0</v>
      </c>
      <c r="CO21" s="12" t="n">
        <v>1</v>
      </c>
      <c r="CP21" s="13"/>
      <c r="CQ21" s="12" t="n">
        <v>1</v>
      </c>
      <c r="CS21" s="12" t="n">
        <v>1</v>
      </c>
      <c r="CT21" s="12" t="n">
        <v>1</v>
      </c>
      <c r="CV21" s="12" t="n">
        <v>1</v>
      </c>
      <c r="CY21" s="12" t="n">
        <v>1</v>
      </c>
      <c r="DA21" s="12" t="n">
        <v>1</v>
      </c>
      <c r="DB21" s="12" t="n">
        <v>1</v>
      </c>
      <c r="DD21" s="13"/>
      <c r="DE21" s="12" t="n">
        <f aca="false">COUNT(CQ21:DC21)</f>
        <v>7</v>
      </c>
      <c r="DJ21" s="12" t="n">
        <v>21</v>
      </c>
      <c r="DL21" s="12" t="n">
        <v>3</v>
      </c>
      <c r="DM21" s="12" t="n">
        <v>3</v>
      </c>
      <c r="DN21" s="12" t="n">
        <v>0</v>
      </c>
      <c r="DO21" s="12" t="n">
        <v>0</v>
      </c>
      <c r="DP21" s="12" t="n">
        <v>0</v>
      </c>
      <c r="DQ21" s="12" t="n">
        <v>0</v>
      </c>
      <c r="DR21" s="13"/>
      <c r="DS21" s="12" t="n">
        <v>1</v>
      </c>
      <c r="DU21" s="12" t="n">
        <v>1</v>
      </c>
      <c r="DV21" s="12" t="n">
        <v>1</v>
      </c>
      <c r="DX21" s="12" t="n">
        <v>1</v>
      </c>
      <c r="EA21" s="12" t="n">
        <v>1</v>
      </c>
      <c r="EC21" s="12" t="n">
        <v>1</v>
      </c>
      <c r="ED21" s="12" t="n">
        <v>1</v>
      </c>
      <c r="EF21" s="13"/>
      <c r="EG21" s="12" t="n">
        <f aca="false">COUNT(DS21:EE21)</f>
        <v>7</v>
      </c>
      <c r="FN21" s="12" t="n">
        <v>28</v>
      </c>
      <c r="FP21" s="12" t="n">
        <v>2</v>
      </c>
      <c r="FQ21" s="12" t="n">
        <v>0</v>
      </c>
      <c r="FR21" s="12" t="n">
        <v>0</v>
      </c>
      <c r="FS21" s="12" t="n">
        <v>0</v>
      </c>
      <c r="FT21" s="12" t="n">
        <v>1</v>
      </c>
      <c r="FU21" s="12" t="n">
        <v>0</v>
      </c>
      <c r="FV21" s="13"/>
      <c r="FW21" s="12" t="n">
        <v>1</v>
      </c>
      <c r="FY21" s="12" t="n">
        <v>1</v>
      </c>
      <c r="FZ21" s="12" t="n">
        <v>1</v>
      </c>
      <c r="GB21" s="12" t="n">
        <v>1</v>
      </c>
      <c r="GE21" s="12" t="n">
        <v>1</v>
      </c>
      <c r="GH21" s="12" t="n">
        <v>1</v>
      </c>
      <c r="GJ21" s="13"/>
      <c r="GK21" s="12" t="n">
        <f aca="false">COUNT(FW21:GI21)</f>
        <v>6</v>
      </c>
      <c r="GP21" s="12" t="n">
        <v>29</v>
      </c>
      <c r="GQ21" s="12"/>
      <c r="GR21" s="12" t="n">
        <v>2</v>
      </c>
      <c r="GS21" s="12" t="n">
        <v>3</v>
      </c>
      <c r="GT21" s="12" t="n">
        <v>0</v>
      </c>
      <c r="GU21" s="12" t="n">
        <v>0</v>
      </c>
      <c r="GV21" s="12" t="n">
        <v>0</v>
      </c>
      <c r="GW21" s="12" t="n">
        <v>0</v>
      </c>
      <c r="GX21" s="13"/>
      <c r="GY21" s="12" t="n">
        <v>1</v>
      </c>
      <c r="GZ21" s="12"/>
      <c r="HA21" s="12" t="n">
        <v>1</v>
      </c>
      <c r="HB21" s="12" t="n">
        <v>1</v>
      </c>
      <c r="HC21" s="12"/>
      <c r="HD21" s="12" t="n">
        <v>1</v>
      </c>
      <c r="HE21" s="12"/>
      <c r="HF21" s="12"/>
      <c r="HG21" s="12" t="n">
        <v>1</v>
      </c>
      <c r="HH21" s="12"/>
      <c r="HI21" s="12"/>
      <c r="HJ21" s="12" t="n">
        <v>1</v>
      </c>
      <c r="HK21" s="12"/>
      <c r="HL21" s="13"/>
      <c r="HM21" s="12" t="n">
        <f aca="false">COUNT(GY21:HK21)</f>
        <v>6</v>
      </c>
    </row>
    <row r="22" customFormat="false" ht="18.3" hidden="false" customHeight="true" outlineLevel="0" collapsed="false">
      <c r="B22" s="12" t="n">
        <v>18</v>
      </c>
      <c r="D22" s="12" t="n">
        <v>0</v>
      </c>
      <c r="E22" s="12" t="n">
        <v>1</v>
      </c>
      <c r="F22" s="12" t="n">
        <v>1</v>
      </c>
      <c r="G22" s="12" t="n">
        <v>0</v>
      </c>
      <c r="H22" s="12" t="n">
        <v>0</v>
      </c>
      <c r="I22" s="12" t="n">
        <v>0</v>
      </c>
      <c r="J22" s="13"/>
      <c r="K22" s="12" t="n">
        <v>1</v>
      </c>
      <c r="O22" s="12" t="n">
        <v>1</v>
      </c>
      <c r="P22" s="12" t="n">
        <v>1</v>
      </c>
      <c r="U22" s="12" t="n">
        <v>1</v>
      </c>
      <c r="X22" s="13"/>
      <c r="Y22" s="12" t="n">
        <f aca="false">COUNT(K22:W22)</f>
        <v>4</v>
      </c>
      <c r="AD22" s="12" t="n">
        <v>18</v>
      </c>
      <c r="AF22" s="12" t="n">
        <v>0</v>
      </c>
      <c r="AG22" s="12" t="n">
        <v>1</v>
      </c>
      <c r="AH22" s="12" t="n">
        <v>1</v>
      </c>
      <c r="AI22" s="12" t="n">
        <v>0</v>
      </c>
      <c r="AJ22" s="12" t="n">
        <v>0</v>
      </c>
      <c r="AK22" s="12" t="n">
        <v>0</v>
      </c>
      <c r="AL22" s="13"/>
      <c r="AM22" s="12" t="n">
        <v>1</v>
      </c>
      <c r="AQ22" s="12" t="n">
        <v>1</v>
      </c>
      <c r="AR22" s="12" t="n">
        <v>1</v>
      </c>
      <c r="AW22" s="12" t="n">
        <v>1</v>
      </c>
      <c r="AZ22" s="13"/>
      <c r="BA22" s="12" t="n">
        <f aca="false">COUNT(AM22:AY22)</f>
        <v>4</v>
      </c>
      <c r="BF22" s="12" t="n">
        <v>18</v>
      </c>
      <c r="BH22" s="12" t="n">
        <v>0</v>
      </c>
      <c r="BI22" s="12" t="n">
        <v>1</v>
      </c>
      <c r="BJ22" s="12" t="n">
        <v>1</v>
      </c>
      <c r="BK22" s="12" t="n">
        <v>0</v>
      </c>
      <c r="BL22" s="12" t="n">
        <v>0</v>
      </c>
      <c r="BM22" s="12" t="n">
        <v>0</v>
      </c>
      <c r="BN22" s="13"/>
      <c r="BO22" s="12" t="n">
        <v>1</v>
      </c>
      <c r="BS22" s="12" t="n">
        <v>1</v>
      </c>
      <c r="BT22" s="12" t="n">
        <v>1</v>
      </c>
      <c r="BY22" s="12" t="n">
        <v>1</v>
      </c>
      <c r="CB22" s="13"/>
      <c r="CC22" s="12" t="n">
        <f aca="false">COUNT(BO22:CA22)</f>
        <v>4</v>
      </c>
      <c r="CH22" s="12" t="n">
        <v>21</v>
      </c>
      <c r="CJ22" s="12" t="n">
        <v>3</v>
      </c>
      <c r="CK22" s="12" t="n">
        <v>3</v>
      </c>
      <c r="CL22" s="12" t="n">
        <v>0</v>
      </c>
      <c r="CM22" s="12" t="n">
        <v>0</v>
      </c>
      <c r="CN22" s="12" t="n">
        <v>0</v>
      </c>
      <c r="CO22" s="12" t="n">
        <v>0</v>
      </c>
      <c r="CP22" s="13"/>
      <c r="CQ22" s="12" t="n">
        <v>1</v>
      </c>
      <c r="CS22" s="12" t="n">
        <v>1</v>
      </c>
      <c r="CT22" s="12" t="n">
        <v>1</v>
      </c>
      <c r="CV22" s="12" t="n">
        <v>1</v>
      </c>
      <c r="CY22" s="12" t="n">
        <v>1</v>
      </c>
      <c r="DA22" s="12" t="n">
        <v>1</v>
      </c>
      <c r="DB22" s="12" t="n">
        <v>1</v>
      </c>
      <c r="DD22" s="13"/>
      <c r="DE22" s="12" t="n">
        <f aca="false">COUNT(CQ22:DC22)</f>
        <v>7</v>
      </c>
      <c r="DJ22" s="12" t="n">
        <v>22</v>
      </c>
      <c r="DL22" s="12" t="n">
        <v>0</v>
      </c>
      <c r="DM22" s="12" t="n">
        <v>2</v>
      </c>
      <c r="DN22" s="12" t="n">
        <v>0</v>
      </c>
      <c r="DO22" s="12" t="n">
        <v>0</v>
      </c>
      <c r="DP22" s="12" t="n">
        <v>0</v>
      </c>
      <c r="DQ22" s="12" t="n">
        <v>1</v>
      </c>
      <c r="DR22" s="13"/>
      <c r="DS22" s="12" t="n">
        <v>1</v>
      </c>
      <c r="DU22" s="12" t="n">
        <v>1</v>
      </c>
      <c r="DX22" s="12" t="n">
        <v>1</v>
      </c>
      <c r="EA22" s="12" t="n">
        <v>1</v>
      </c>
      <c r="EC22" s="12" t="n">
        <v>1</v>
      </c>
      <c r="ED22" s="12" t="n">
        <v>1</v>
      </c>
      <c r="EF22" s="13"/>
      <c r="EG22" s="12" t="n">
        <f aca="false">COUNT(DS22:EE22)</f>
        <v>6</v>
      </c>
      <c r="EP22" s="12" t="s">
        <v>85</v>
      </c>
      <c r="ES22" s="12" t="s">
        <v>86</v>
      </c>
      <c r="FN22" s="12" t="n">
        <v>29</v>
      </c>
      <c r="FP22" s="12" t="n">
        <v>2</v>
      </c>
      <c r="FQ22" s="12" t="n">
        <v>3</v>
      </c>
      <c r="FR22" s="12" t="n">
        <v>0</v>
      </c>
      <c r="FS22" s="12" t="n">
        <v>0</v>
      </c>
      <c r="FT22" s="12" t="n">
        <v>0</v>
      </c>
      <c r="FU22" s="12" t="n">
        <v>0</v>
      </c>
      <c r="FV22" s="13"/>
      <c r="FW22" s="12" t="n">
        <v>1</v>
      </c>
      <c r="FY22" s="12" t="n">
        <v>1</v>
      </c>
      <c r="FZ22" s="12" t="n">
        <v>1</v>
      </c>
      <c r="GB22" s="12" t="n">
        <v>1</v>
      </c>
      <c r="GE22" s="12" t="n">
        <v>1</v>
      </c>
      <c r="GH22" s="12" t="n">
        <v>1</v>
      </c>
      <c r="GJ22" s="13"/>
      <c r="GK22" s="12" t="n">
        <f aca="false">COUNT(FW22:GI22)</f>
        <v>6</v>
      </c>
      <c r="GP22" s="12" t="n">
        <v>30</v>
      </c>
      <c r="GQ22" s="12"/>
      <c r="GR22" s="12" t="n">
        <v>2</v>
      </c>
      <c r="GS22" s="12" t="n">
        <v>2</v>
      </c>
      <c r="GT22" s="12" t="n">
        <v>0</v>
      </c>
      <c r="GU22" s="12" t="n">
        <v>0</v>
      </c>
      <c r="GV22" s="12" t="n">
        <v>0</v>
      </c>
      <c r="GW22" s="12" t="n">
        <v>0</v>
      </c>
      <c r="GX22" s="13"/>
      <c r="GY22" s="12" t="n">
        <v>1</v>
      </c>
      <c r="GZ22" s="12"/>
      <c r="HA22" s="12" t="n">
        <v>1</v>
      </c>
      <c r="HB22" s="12"/>
      <c r="HC22" s="12"/>
      <c r="HD22" s="12" t="n">
        <v>1</v>
      </c>
      <c r="HE22" s="12"/>
      <c r="HF22" s="12"/>
      <c r="HG22" s="12" t="n">
        <v>1</v>
      </c>
      <c r="HH22" s="12"/>
      <c r="HI22" s="12"/>
      <c r="HJ22" s="12" t="n">
        <v>1</v>
      </c>
      <c r="HK22" s="12"/>
      <c r="HL22" s="13"/>
      <c r="HM22" s="12" t="n">
        <f aca="false">COUNT(GY22:HK22)</f>
        <v>5</v>
      </c>
    </row>
    <row r="23" customFormat="false" ht="18.3" hidden="false" customHeight="true" outlineLevel="0" collapsed="false">
      <c r="B23" s="12" t="n">
        <v>19</v>
      </c>
      <c r="D23" s="12" t="n">
        <v>3</v>
      </c>
      <c r="E23" s="12" t="n">
        <v>0</v>
      </c>
      <c r="F23" s="12" t="n">
        <v>0</v>
      </c>
      <c r="G23" s="12" t="n">
        <v>0</v>
      </c>
      <c r="H23" s="12" t="n">
        <v>1</v>
      </c>
      <c r="I23" s="12" t="n">
        <v>0</v>
      </c>
      <c r="J23" s="13"/>
      <c r="K23" s="12" t="n">
        <v>1</v>
      </c>
      <c r="M23" s="12" t="n">
        <v>1</v>
      </c>
      <c r="N23" s="12" t="n">
        <v>1</v>
      </c>
      <c r="P23" s="12" t="n">
        <v>1</v>
      </c>
      <c r="S23" s="12" t="n">
        <v>1</v>
      </c>
      <c r="U23" s="12" t="n">
        <v>1</v>
      </c>
      <c r="V23" s="12" t="n">
        <v>1</v>
      </c>
      <c r="X23" s="13"/>
      <c r="Y23" s="12" t="n">
        <f aca="false">COUNT(K23:W23)</f>
        <v>7</v>
      </c>
      <c r="AD23" s="12" t="n">
        <v>19</v>
      </c>
      <c r="AF23" s="12" t="n">
        <v>3</v>
      </c>
      <c r="AG23" s="12" t="n">
        <v>0</v>
      </c>
      <c r="AH23" s="12" t="n">
        <v>0</v>
      </c>
      <c r="AI23" s="12" t="n">
        <v>0</v>
      </c>
      <c r="AJ23" s="12" t="n">
        <v>1</v>
      </c>
      <c r="AK23" s="12" t="n">
        <v>0</v>
      </c>
      <c r="AL23" s="13"/>
      <c r="AM23" s="12" t="n">
        <v>1</v>
      </c>
      <c r="AO23" s="12" t="n">
        <v>1</v>
      </c>
      <c r="AP23" s="12" t="n">
        <v>1</v>
      </c>
      <c r="AR23" s="12" t="n">
        <v>1</v>
      </c>
      <c r="AU23" s="12" t="n">
        <v>1</v>
      </c>
      <c r="AW23" s="12" t="n">
        <v>1</v>
      </c>
      <c r="AX23" s="12" t="n">
        <v>1</v>
      </c>
      <c r="AZ23" s="13"/>
      <c r="BA23" s="12" t="n">
        <f aca="false">COUNT(AM23:AY23)</f>
        <v>7</v>
      </c>
      <c r="BF23" s="12" t="n">
        <v>19</v>
      </c>
      <c r="BH23" s="12" t="n">
        <v>3</v>
      </c>
      <c r="BI23" s="12" t="n">
        <v>0</v>
      </c>
      <c r="BJ23" s="12" t="n">
        <v>0</v>
      </c>
      <c r="BK23" s="12" t="n">
        <v>0</v>
      </c>
      <c r="BL23" s="12" t="n">
        <v>1</v>
      </c>
      <c r="BM23" s="12" t="n">
        <v>0</v>
      </c>
      <c r="BN23" s="13"/>
      <c r="BO23" s="12" t="n">
        <v>1</v>
      </c>
      <c r="BQ23" s="12" t="n">
        <v>1</v>
      </c>
      <c r="BR23" s="12" t="n">
        <v>1</v>
      </c>
      <c r="BT23" s="12" t="n">
        <v>1</v>
      </c>
      <c r="BW23" s="12" t="n">
        <v>1</v>
      </c>
      <c r="BY23" s="12" t="n">
        <v>1</v>
      </c>
      <c r="BZ23" s="12" t="n">
        <v>1</v>
      </c>
      <c r="CB23" s="13"/>
      <c r="CC23" s="12" t="n">
        <f aca="false">COUNT(BO23:CA23)</f>
        <v>7</v>
      </c>
      <c r="CH23" s="12" t="n">
        <v>22</v>
      </c>
      <c r="CJ23" s="12" t="n">
        <v>0</v>
      </c>
      <c r="CK23" s="12" t="n">
        <v>2</v>
      </c>
      <c r="CL23" s="12" t="n">
        <v>0</v>
      </c>
      <c r="CM23" s="12" t="n">
        <v>0</v>
      </c>
      <c r="CN23" s="12" t="n">
        <v>0</v>
      </c>
      <c r="CO23" s="12" t="n">
        <v>1</v>
      </c>
      <c r="CP23" s="13"/>
      <c r="CQ23" s="12" t="n">
        <v>1</v>
      </c>
      <c r="CS23" s="12" t="n">
        <v>1</v>
      </c>
      <c r="CV23" s="12" t="n">
        <v>1</v>
      </c>
      <c r="CY23" s="12" t="n">
        <v>1</v>
      </c>
      <c r="DA23" s="12" t="n">
        <v>1</v>
      </c>
      <c r="DB23" s="12" t="n">
        <v>1</v>
      </c>
      <c r="DD23" s="13"/>
      <c r="DE23" s="12" t="n">
        <f aca="false">COUNT(CQ23:DC23)</f>
        <v>6</v>
      </c>
      <c r="DJ23" s="12" t="n">
        <v>26</v>
      </c>
      <c r="DL23" s="12" t="n">
        <v>2</v>
      </c>
      <c r="DM23" s="12" t="n">
        <v>1</v>
      </c>
      <c r="DN23" s="12" t="n">
        <v>0</v>
      </c>
      <c r="DO23" s="12" t="n">
        <v>0</v>
      </c>
      <c r="DP23" s="12" t="n">
        <v>1</v>
      </c>
      <c r="DQ23" s="12" t="n">
        <v>0</v>
      </c>
      <c r="DR23" s="13"/>
      <c r="DS23" s="12" t="n">
        <v>1</v>
      </c>
      <c r="DU23" s="12" t="n">
        <v>1</v>
      </c>
      <c r="DV23" s="12" t="n">
        <v>1</v>
      </c>
      <c r="DX23" s="12" t="n">
        <v>1</v>
      </c>
      <c r="EA23" s="12" t="n">
        <v>1</v>
      </c>
      <c r="EB23" s="12" t="n">
        <v>1</v>
      </c>
      <c r="ED23" s="12" t="n">
        <v>1</v>
      </c>
      <c r="EF23" s="13"/>
      <c r="EG23" s="12" t="n">
        <f aca="false">COUNT(DS23:EE23)</f>
        <v>7</v>
      </c>
      <c r="EP23" s="12" t="n">
        <v>7</v>
      </c>
      <c r="ES23" s="12" t="n">
        <v>14</v>
      </c>
      <c r="FN23" s="12" t="n">
        <v>30</v>
      </c>
      <c r="FP23" s="12" t="n">
        <v>2</v>
      </c>
      <c r="FQ23" s="12" t="n">
        <v>2</v>
      </c>
      <c r="FR23" s="12" t="n">
        <v>0</v>
      </c>
      <c r="FS23" s="12" t="n">
        <v>0</v>
      </c>
      <c r="FT23" s="12" t="n">
        <v>0</v>
      </c>
      <c r="FU23" s="12" t="n">
        <v>0</v>
      </c>
      <c r="FV23" s="13"/>
      <c r="FW23" s="12" t="n">
        <v>1</v>
      </c>
      <c r="FY23" s="12" t="n">
        <v>1</v>
      </c>
      <c r="GB23" s="12" t="n">
        <v>1</v>
      </c>
      <c r="GE23" s="12" t="n">
        <v>1</v>
      </c>
      <c r="GH23" s="12" t="n">
        <v>1</v>
      </c>
      <c r="GJ23" s="13"/>
      <c r="GK23" s="12" t="n">
        <f aca="false">COUNT(FW23:GI23)</f>
        <v>5</v>
      </c>
      <c r="GP23" s="12" t="n">
        <v>31</v>
      </c>
      <c r="GQ23" s="12"/>
      <c r="GR23" s="12" t="n">
        <v>2</v>
      </c>
      <c r="GS23" s="12" t="n">
        <v>1</v>
      </c>
      <c r="GT23" s="12" t="n">
        <v>0</v>
      </c>
      <c r="GU23" s="12" t="n">
        <v>0</v>
      </c>
      <c r="GV23" s="12" t="n">
        <v>0</v>
      </c>
      <c r="GW23" s="12" t="n">
        <v>0</v>
      </c>
      <c r="GX23" s="13"/>
      <c r="GY23" s="12" t="n">
        <v>1</v>
      </c>
      <c r="GZ23" s="12"/>
      <c r="HA23" s="12" t="n">
        <v>1</v>
      </c>
      <c r="HB23" s="12"/>
      <c r="HC23" s="12"/>
      <c r="HD23" s="12" t="n">
        <v>1</v>
      </c>
      <c r="HE23" s="12"/>
      <c r="HF23" s="12"/>
      <c r="HG23" s="12" t="n">
        <v>1</v>
      </c>
      <c r="HH23" s="12"/>
      <c r="HI23" s="12"/>
      <c r="HJ23" s="12"/>
      <c r="HK23" s="12"/>
      <c r="HL23" s="13"/>
      <c r="HM23" s="12" t="n">
        <f aca="false">COUNT(GY23:HK23)</f>
        <v>4</v>
      </c>
    </row>
    <row r="24" customFormat="false" ht="18.3" hidden="false" customHeight="true" outlineLevel="0" collapsed="false">
      <c r="B24" s="12" t="n">
        <v>20</v>
      </c>
      <c r="D24" s="12" t="n">
        <v>0</v>
      </c>
      <c r="E24" s="12" t="n">
        <v>3</v>
      </c>
      <c r="F24" s="12" t="n">
        <v>0</v>
      </c>
      <c r="G24" s="12" t="n">
        <v>0</v>
      </c>
      <c r="H24" s="12" t="n">
        <v>0</v>
      </c>
      <c r="I24" s="12" t="n">
        <v>1</v>
      </c>
      <c r="J24" s="13"/>
      <c r="K24" s="12" t="n">
        <v>1</v>
      </c>
      <c r="M24" s="12" t="n">
        <v>1</v>
      </c>
      <c r="N24" s="12" t="n">
        <v>1</v>
      </c>
      <c r="P24" s="12" t="n">
        <v>1</v>
      </c>
      <c r="S24" s="12" t="n">
        <v>1</v>
      </c>
      <c r="U24" s="12" t="n">
        <v>1</v>
      </c>
      <c r="V24" s="12" t="n">
        <v>1</v>
      </c>
      <c r="X24" s="13"/>
      <c r="Y24" s="12" t="n">
        <f aca="false">COUNT(K24:W24)</f>
        <v>7</v>
      </c>
      <c r="AD24" s="12" t="n">
        <v>20</v>
      </c>
      <c r="AF24" s="12" t="n">
        <v>0</v>
      </c>
      <c r="AG24" s="12" t="n">
        <v>3</v>
      </c>
      <c r="AH24" s="12" t="n">
        <v>0</v>
      </c>
      <c r="AI24" s="12" t="n">
        <v>0</v>
      </c>
      <c r="AJ24" s="12" t="n">
        <v>0</v>
      </c>
      <c r="AK24" s="12" t="n">
        <v>1</v>
      </c>
      <c r="AL24" s="13"/>
      <c r="AM24" s="12" t="n">
        <v>1</v>
      </c>
      <c r="AO24" s="12" t="n">
        <v>1</v>
      </c>
      <c r="AP24" s="12" t="n">
        <v>1</v>
      </c>
      <c r="AR24" s="12" t="n">
        <v>1</v>
      </c>
      <c r="AU24" s="12" t="n">
        <v>1</v>
      </c>
      <c r="AW24" s="12" t="n">
        <v>1</v>
      </c>
      <c r="AX24" s="12" t="n">
        <v>1</v>
      </c>
      <c r="AZ24" s="13"/>
      <c r="BA24" s="12" t="n">
        <f aca="false">COUNT(AM24:AY24)</f>
        <v>7</v>
      </c>
      <c r="BF24" s="12" t="n">
        <v>20</v>
      </c>
      <c r="BH24" s="12" t="n">
        <v>0</v>
      </c>
      <c r="BI24" s="12" t="n">
        <v>3</v>
      </c>
      <c r="BJ24" s="12" t="n">
        <v>0</v>
      </c>
      <c r="BK24" s="12" t="n">
        <v>0</v>
      </c>
      <c r="BL24" s="12" t="n">
        <v>0</v>
      </c>
      <c r="BM24" s="12" t="n">
        <v>1</v>
      </c>
      <c r="BN24" s="13"/>
      <c r="BO24" s="12" t="n">
        <v>1</v>
      </c>
      <c r="BQ24" s="12" t="n">
        <v>1</v>
      </c>
      <c r="BR24" s="12" t="n">
        <v>1</v>
      </c>
      <c r="BT24" s="12" t="n">
        <v>1</v>
      </c>
      <c r="BW24" s="12" t="n">
        <v>1</v>
      </c>
      <c r="BY24" s="12" t="n">
        <v>1</v>
      </c>
      <c r="BZ24" s="12" t="n">
        <v>1</v>
      </c>
      <c r="CB24" s="13"/>
      <c r="CC24" s="12" t="n">
        <f aca="false">COUNT(BO24:CA24)</f>
        <v>7</v>
      </c>
      <c r="CH24" s="12" t="n">
        <v>23</v>
      </c>
      <c r="CJ24" s="12" t="n">
        <v>3</v>
      </c>
      <c r="CK24" s="12" t="n">
        <v>1</v>
      </c>
      <c r="CL24" s="12" t="n">
        <v>0</v>
      </c>
      <c r="CM24" s="12" t="n">
        <v>0</v>
      </c>
      <c r="CN24" s="12" t="n">
        <v>0</v>
      </c>
      <c r="CO24" s="12" t="n">
        <v>0</v>
      </c>
      <c r="CP24" s="13"/>
      <c r="CQ24" s="12" t="n">
        <v>1</v>
      </c>
      <c r="CS24" s="12" t="n">
        <v>1</v>
      </c>
      <c r="CV24" s="12" t="n">
        <v>1</v>
      </c>
      <c r="CY24" s="12" t="n">
        <v>1</v>
      </c>
      <c r="DA24" s="12" t="n">
        <v>1</v>
      </c>
      <c r="DD24" s="13"/>
      <c r="DE24" s="12" t="n">
        <f aca="false">COUNT(CQ24:DC24)</f>
        <v>5</v>
      </c>
      <c r="DJ24" s="12" t="n">
        <v>27</v>
      </c>
      <c r="DL24" s="12" t="n">
        <v>2</v>
      </c>
      <c r="DM24" s="12" t="n">
        <v>4</v>
      </c>
      <c r="DN24" s="12" t="n">
        <v>0</v>
      </c>
      <c r="DO24" s="12" t="n">
        <v>0</v>
      </c>
      <c r="DP24" s="12" t="n">
        <v>0</v>
      </c>
      <c r="DQ24" s="12" t="n">
        <v>0</v>
      </c>
      <c r="DR24" s="13"/>
      <c r="DS24" s="12" t="n">
        <v>1</v>
      </c>
      <c r="DU24" s="12" t="n">
        <v>1</v>
      </c>
      <c r="DV24" s="12" t="n">
        <v>1</v>
      </c>
      <c r="DX24" s="12" t="n">
        <v>1</v>
      </c>
      <c r="EA24" s="12" t="n">
        <v>1</v>
      </c>
      <c r="EB24" s="12" t="n">
        <v>1</v>
      </c>
      <c r="ED24" s="12" t="n">
        <v>1</v>
      </c>
      <c r="EF24" s="13"/>
      <c r="EG24" s="12" t="n">
        <f aca="false">COUNT(DS24:EE24)</f>
        <v>7</v>
      </c>
      <c r="EP24" s="12" t="n">
        <v>6</v>
      </c>
      <c r="ES24" s="12" t="n">
        <v>18</v>
      </c>
      <c r="FB24" s="0"/>
      <c r="FC24" s="0"/>
      <c r="FD24" s="0"/>
      <c r="FE24" s="0"/>
      <c r="FF24" s="0"/>
      <c r="FG24" s="0"/>
      <c r="FH24" s="0"/>
      <c r="FN24" s="12" t="n">
        <v>31</v>
      </c>
      <c r="FP24" s="12" t="n">
        <v>2</v>
      </c>
      <c r="FQ24" s="12" t="n">
        <v>1</v>
      </c>
      <c r="FR24" s="12" t="n">
        <v>0</v>
      </c>
      <c r="FS24" s="12" t="n">
        <v>0</v>
      </c>
      <c r="FT24" s="12" t="n">
        <v>0</v>
      </c>
      <c r="FU24" s="12" t="n">
        <v>0</v>
      </c>
      <c r="FV24" s="13"/>
      <c r="FW24" s="12" t="n">
        <v>1</v>
      </c>
      <c r="FY24" s="12" t="n">
        <v>1</v>
      </c>
      <c r="GB24" s="12" t="n">
        <v>1</v>
      </c>
      <c r="GE24" s="12" t="n">
        <v>1</v>
      </c>
      <c r="GJ24" s="13"/>
      <c r="GK24" s="12" t="n">
        <f aca="false">COUNT(FW24:GI24)</f>
        <v>4</v>
      </c>
      <c r="GP24" s="12" t="n">
        <v>32</v>
      </c>
      <c r="GQ24" s="12"/>
      <c r="GR24" s="12" t="n">
        <v>2</v>
      </c>
      <c r="GS24" s="12" t="n">
        <v>0</v>
      </c>
      <c r="GT24" s="12" t="n">
        <v>0</v>
      </c>
      <c r="GU24" s="12" t="n">
        <v>1</v>
      </c>
      <c r="GV24" s="12" t="n">
        <v>0</v>
      </c>
      <c r="GW24" s="12" t="n">
        <v>0</v>
      </c>
      <c r="GX24" s="13"/>
      <c r="GY24" s="12" t="n">
        <v>1</v>
      </c>
      <c r="GZ24" s="12"/>
      <c r="HA24" s="12" t="n">
        <v>1</v>
      </c>
      <c r="HB24" s="12" t="n">
        <v>1</v>
      </c>
      <c r="HC24" s="12"/>
      <c r="HD24" s="12"/>
      <c r="HE24" s="12"/>
      <c r="HF24" s="12"/>
      <c r="HG24" s="12" t="n">
        <v>1</v>
      </c>
      <c r="HH24" s="12" t="n">
        <v>1</v>
      </c>
      <c r="HI24" s="12"/>
      <c r="HJ24" s="12" t="n">
        <v>1</v>
      </c>
      <c r="HK24" s="12"/>
      <c r="HL24" s="13"/>
      <c r="HM24" s="12" t="n">
        <f aca="false">COUNT(GY24:HK24)</f>
        <v>6</v>
      </c>
    </row>
    <row r="25" customFormat="false" ht="18.3" hidden="false" customHeight="true" outlineLevel="0" collapsed="false">
      <c r="B25" s="12" t="n">
        <v>21</v>
      </c>
      <c r="D25" s="12" t="n">
        <v>3</v>
      </c>
      <c r="E25" s="12" t="n">
        <v>3</v>
      </c>
      <c r="F25" s="12" t="n">
        <v>0</v>
      </c>
      <c r="G25" s="12" t="n">
        <v>0</v>
      </c>
      <c r="H25" s="12" t="n">
        <v>0</v>
      </c>
      <c r="I25" s="12" t="n">
        <v>0</v>
      </c>
      <c r="J25" s="13"/>
      <c r="K25" s="12" t="n">
        <v>1</v>
      </c>
      <c r="M25" s="12" t="n">
        <v>1</v>
      </c>
      <c r="N25" s="12" t="n">
        <v>1</v>
      </c>
      <c r="P25" s="12" t="n">
        <v>1</v>
      </c>
      <c r="S25" s="12" t="n">
        <v>1</v>
      </c>
      <c r="U25" s="12" t="n">
        <v>1</v>
      </c>
      <c r="V25" s="12" t="n">
        <v>1</v>
      </c>
      <c r="X25" s="13"/>
      <c r="Y25" s="12" t="n">
        <f aca="false">COUNT(K25:W25)</f>
        <v>7</v>
      </c>
      <c r="AD25" s="12" t="n">
        <v>21</v>
      </c>
      <c r="AF25" s="12" t="n">
        <v>3</v>
      </c>
      <c r="AG25" s="12" t="n">
        <v>3</v>
      </c>
      <c r="AH25" s="12" t="n">
        <v>0</v>
      </c>
      <c r="AI25" s="12" t="n">
        <v>0</v>
      </c>
      <c r="AJ25" s="12" t="n">
        <v>0</v>
      </c>
      <c r="AK25" s="12" t="n">
        <v>0</v>
      </c>
      <c r="AL25" s="13"/>
      <c r="AM25" s="12" t="n">
        <v>1</v>
      </c>
      <c r="AO25" s="12" t="n">
        <v>1</v>
      </c>
      <c r="AP25" s="12" t="n">
        <v>1</v>
      </c>
      <c r="AR25" s="12" t="n">
        <v>1</v>
      </c>
      <c r="AU25" s="12" t="n">
        <v>1</v>
      </c>
      <c r="AW25" s="12" t="n">
        <v>1</v>
      </c>
      <c r="AX25" s="12" t="n">
        <v>1</v>
      </c>
      <c r="AZ25" s="13"/>
      <c r="BA25" s="12" t="n">
        <f aca="false">COUNT(AM25:AY25)</f>
        <v>7</v>
      </c>
      <c r="BF25" s="12" t="n">
        <v>21</v>
      </c>
      <c r="BH25" s="12" t="n">
        <v>3</v>
      </c>
      <c r="BI25" s="12" t="n">
        <v>3</v>
      </c>
      <c r="BJ25" s="12" t="n">
        <v>0</v>
      </c>
      <c r="BK25" s="12" t="n">
        <v>0</v>
      </c>
      <c r="BL25" s="12" t="n">
        <v>0</v>
      </c>
      <c r="BM25" s="12" t="n">
        <v>0</v>
      </c>
      <c r="BN25" s="13"/>
      <c r="BO25" s="12" t="n">
        <v>1</v>
      </c>
      <c r="BQ25" s="12" t="n">
        <v>1</v>
      </c>
      <c r="BR25" s="12" t="n">
        <v>1</v>
      </c>
      <c r="BT25" s="12" t="n">
        <v>1</v>
      </c>
      <c r="BW25" s="12" t="n">
        <v>1</v>
      </c>
      <c r="BY25" s="12" t="n">
        <v>1</v>
      </c>
      <c r="BZ25" s="12" t="n">
        <v>1</v>
      </c>
      <c r="CB25" s="13"/>
      <c r="CC25" s="12" t="n">
        <f aca="false">COUNT(BO25:CA25)</f>
        <v>7</v>
      </c>
      <c r="CH25" s="12" t="n">
        <v>26</v>
      </c>
      <c r="CJ25" s="12" t="n">
        <v>2</v>
      </c>
      <c r="CK25" s="12" t="n">
        <v>1</v>
      </c>
      <c r="CL25" s="12" t="n">
        <v>0</v>
      </c>
      <c r="CM25" s="12" t="n">
        <v>0</v>
      </c>
      <c r="CN25" s="12" t="n">
        <v>1</v>
      </c>
      <c r="CO25" s="12" t="n">
        <v>0</v>
      </c>
      <c r="CP25" s="13"/>
      <c r="CQ25" s="12" t="n">
        <v>1</v>
      </c>
      <c r="CS25" s="12" t="n">
        <v>1</v>
      </c>
      <c r="CT25" s="12" t="n">
        <v>1</v>
      </c>
      <c r="CV25" s="12" t="n">
        <v>1</v>
      </c>
      <c r="CY25" s="12" t="n">
        <v>1</v>
      </c>
      <c r="CZ25" s="12" t="n">
        <v>1</v>
      </c>
      <c r="DB25" s="12" t="n">
        <v>1</v>
      </c>
      <c r="DD25" s="13"/>
      <c r="DE25" s="12" t="n">
        <f aca="false">COUNT(CQ25:DC25)</f>
        <v>7</v>
      </c>
      <c r="DJ25" s="12" t="n">
        <v>28</v>
      </c>
      <c r="DL25" s="12" t="n">
        <v>2</v>
      </c>
      <c r="DM25" s="12" t="n">
        <v>0</v>
      </c>
      <c r="DN25" s="12" t="n">
        <v>0</v>
      </c>
      <c r="DO25" s="12" t="n">
        <v>0</v>
      </c>
      <c r="DP25" s="12" t="n">
        <v>1</v>
      </c>
      <c r="DQ25" s="12" t="n">
        <v>0</v>
      </c>
      <c r="DR25" s="13"/>
      <c r="DS25" s="12" t="n">
        <v>1</v>
      </c>
      <c r="DU25" s="12" t="n">
        <v>1</v>
      </c>
      <c r="DV25" s="12" t="n">
        <v>1</v>
      </c>
      <c r="DX25" s="12" t="n">
        <v>1</v>
      </c>
      <c r="EA25" s="12" t="n">
        <v>1</v>
      </c>
      <c r="ED25" s="12" t="n">
        <v>1</v>
      </c>
      <c r="EF25" s="13"/>
      <c r="EG25" s="12" t="n">
        <f aca="false">COUNT(DS25:EE25)</f>
        <v>6</v>
      </c>
      <c r="EP25" s="12" t="n">
        <v>5</v>
      </c>
      <c r="ES25" s="12" t="n">
        <v>5</v>
      </c>
      <c r="FN25" s="12" t="n">
        <v>32</v>
      </c>
      <c r="FP25" s="12" t="n">
        <v>2</v>
      </c>
      <c r="FQ25" s="12" t="n">
        <v>0</v>
      </c>
      <c r="FR25" s="12" t="n">
        <v>0</v>
      </c>
      <c r="FS25" s="12" t="n">
        <v>1</v>
      </c>
      <c r="FT25" s="12" t="n">
        <v>0</v>
      </c>
      <c r="FU25" s="12" t="n">
        <v>0</v>
      </c>
      <c r="FV25" s="13"/>
      <c r="FW25" s="12" t="n">
        <v>1</v>
      </c>
      <c r="FY25" s="12" t="n">
        <v>1</v>
      </c>
      <c r="FZ25" s="12" t="n">
        <v>1</v>
      </c>
      <c r="GE25" s="12" t="n">
        <v>1</v>
      </c>
      <c r="GF25" s="12" t="n">
        <v>1</v>
      </c>
      <c r="GH25" s="12" t="n">
        <v>1</v>
      </c>
      <c r="GJ25" s="13"/>
      <c r="GK25" s="12" t="n">
        <f aca="false">COUNT(FW25:GI25)</f>
        <v>6</v>
      </c>
      <c r="GP25" s="12" t="n">
        <v>33</v>
      </c>
      <c r="GQ25" s="12"/>
      <c r="GR25" s="12" t="n">
        <v>2</v>
      </c>
      <c r="GS25" s="12" t="n">
        <v>0</v>
      </c>
      <c r="GT25" s="12" t="n">
        <v>0</v>
      </c>
      <c r="GU25" s="12" t="n">
        <v>0</v>
      </c>
      <c r="GV25" s="12" t="n">
        <v>0</v>
      </c>
      <c r="GW25" s="12" t="n">
        <v>0</v>
      </c>
      <c r="GX25" s="13"/>
      <c r="GY25" s="12" t="n">
        <v>1</v>
      </c>
      <c r="GZ25" s="12"/>
      <c r="HA25" s="12" t="n">
        <v>1</v>
      </c>
      <c r="HB25" s="12"/>
      <c r="HC25" s="12"/>
      <c r="HD25" s="12"/>
      <c r="HE25" s="12"/>
      <c r="HF25" s="12"/>
      <c r="HG25" s="12" t="n">
        <v>1</v>
      </c>
      <c r="HH25" s="12"/>
      <c r="HI25" s="12"/>
      <c r="HJ25" s="12"/>
      <c r="HK25" s="12"/>
      <c r="HL25" s="13"/>
      <c r="HM25" s="12" t="n">
        <f aca="false">COUNT(GY25:HK25)</f>
        <v>3</v>
      </c>
    </row>
    <row r="26" customFormat="false" ht="18.3" hidden="false" customHeight="true" outlineLevel="0" collapsed="false">
      <c r="B26" s="12" t="n">
        <v>22</v>
      </c>
      <c r="D26" s="12" t="n">
        <v>0</v>
      </c>
      <c r="E26" s="12" t="n">
        <v>2</v>
      </c>
      <c r="F26" s="12" t="n">
        <v>0</v>
      </c>
      <c r="G26" s="12" t="n">
        <v>0</v>
      </c>
      <c r="H26" s="12" t="n">
        <v>0</v>
      </c>
      <c r="I26" s="12" t="n">
        <v>1</v>
      </c>
      <c r="J26" s="13"/>
      <c r="K26" s="12" t="n">
        <v>1</v>
      </c>
      <c r="M26" s="12" t="n">
        <v>1</v>
      </c>
      <c r="P26" s="12" t="n">
        <v>1</v>
      </c>
      <c r="S26" s="12" t="n">
        <v>1</v>
      </c>
      <c r="U26" s="12" t="n">
        <v>1</v>
      </c>
      <c r="V26" s="12" t="n">
        <v>1</v>
      </c>
      <c r="X26" s="13"/>
      <c r="Y26" s="12" t="n">
        <f aca="false">COUNT(K26:W26)</f>
        <v>6</v>
      </c>
      <c r="AD26" s="12" t="n">
        <v>22</v>
      </c>
      <c r="AF26" s="12" t="n">
        <v>0</v>
      </c>
      <c r="AG26" s="12" t="n">
        <v>2</v>
      </c>
      <c r="AH26" s="12" t="n">
        <v>0</v>
      </c>
      <c r="AI26" s="12" t="n">
        <v>0</v>
      </c>
      <c r="AJ26" s="12" t="n">
        <v>0</v>
      </c>
      <c r="AK26" s="12" t="n">
        <v>1</v>
      </c>
      <c r="AL26" s="13"/>
      <c r="AM26" s="12" t="n">
        <v>1</v>
      </c>
      <c r="AO26" s="12" t="n">
        <v>1</v>
      </c>
      <c r="AR26" s="12" t="n">
        <v>1</v>
      </c>
      <c r="AU26" s="12" t="n">
        <v>1</v>
      </c>
      <c r="AW26" s="12" t="n">
        <v>1</v>
      </c>
      <c r="AX26" s="12" t="n">
        <v>1</v>
      </c>
      <c r="AZ26" s="13"/>
      <c r="BA26" s="12" t="n">
        <f aca="false">COUNT(AM26:AY26)</f>
        <v>6</v>
      </c>
      <c r="BF26" s="12" t="n">
        <v>22</v>
      </c>
      <c r="BH26" s="12" t="n">
        <v>0</v>
      </c>
      <c r="BI26" s="12" t="n">
        <v>2</v>
      </c>
      <c r="BJ26" s="12" t="n">
        <v>0</v>
      </c>
      <c r="BK26" s="12" t="n">
        <v>0</v>
      </c>
      <c r="BL26" s="12" t="n">
        <v>0</v>
      </c>
      <c r="BM26" s="12" t="n">
        <v>1</v>
      </c>
      <c r="BN26" s="13"/>
      <c r="BO26" s="12" t="n">
        <v>1</v>
      </c>
      <c r="BQ26" s="12" t="n">
        <v>1</v>
      </c>
      <c r="BT26" s="12" t="n">
        <v>1</v>
      </c>
      <c r="BW26" s="12" t="n">
        <v>1</v>
      </c>
      <c r="BY26" s="12" t="n">
        <v>1</v>
      </c>
      <c r="BZ26" s="12" t="n">
        <v>1</v>
      </c>
      <c r="CB26" s="13"/>
      <c r="CC26" s="12" t="n">
        <f aca="false">COUNT(BO26:CA26)</f>
        <v>6</v>
      </c>
      <c r="CH26" s="12" t="n">
        <v>27</v>
      </c>
      <c r="CJ26" s="12" t="n">
        <v>2</v>
      </c>
      <c r="CK26" s="12" t="n">
        <v>4</v>
      </c>
      <c r="CL26" s="12" t="n">
        <v>0</v>
      </c>
      <c r="CM26" s="12" t="n">
        <v>0</v>
      </c>
      <c r="CN26" s="12" t="n">
        <v>0</v>
      </c>
      <c r="CO26" s="12" t="n">
        <v>0</v>
      </c>
      <c r="CP26" s="13"/>
      <c r="CQ26" s="12" t="n">
        <v>1</v>
      </c>
      <c r="CS26" s="12" t="n">
        <v>1</v>
      </c>
      <c r="CT26" s="12" t="n">
        <v>1</v>
      </c>
      <c r="CV26" s="12" t="n">
        <v>1</v>
      </c>
      <c r="CY26" s="12" t="n">
        <v>1</v>
      </c>
      <c r="CZ26" s="12" t="n">
        <v>1</v>
      </c>
      <c r="DB26" s="12" t="n">
        <v>1</v>
      </c>
      <c r="DD26" s="13"/>
      <c r="DE26" s="12" t="n">
        <f aca="false">COUNT(CQ26:DC26)</f>
        <v>7</v>
      </c>
      <c r="DJ26" s="12" t="n">
        <v>29</v>
      </c>
      <c r="DL26" s="12" t="n">
        <v>2</v>
      </c>
      <c r="DM26" s="12" t="n">
        <v>3</v>
      </c>
      <c r="DN26" s="12" t="n">
        <v>0</v>
      </c>
      <c r="DO26" s="12" t="n">
        <v>0</v>
      </c>
      <c r="DP26" s="12" t="n">
        <v>0</v>
      </c>
      <c r="DQ26" s="12" t="n">
        <v>0</v>
      </c>
      <c r="DR26" s="13"/>
      <c r="DS26" s="12" t="n">
        <v>1</v>
      </c>
      <c r="DU26" s="12" t="n">
        <v>1</v>
      </c>
      <c r="DV26" s="12" t="n">
        <v>1</v>
      </c>
      <c r="DX26" s="12" t="n">
        <v>1</v>
      </c>
      <c r="EA26" s="12" t="n">
        <v>1</v>
      </c>
      <c r="ED26" s="12" t="n">
        <v>1</v>
      </c>
      <c r="EF26" s="13"/>
      <c r="EG26" s="12" t="n">
        <f aca="false">COUNT(DS26:EE26)</f>
        <v>6</v>
      </c>
      <c r="EP26" s="12" t="n">
        <v>4</v>
      </c>
      <c r="ES26" s="12" t="n">
        <v>12</v>
      </c>
      <c r="FB26" s="0"/>
      <c r="FC26" s="0"/>
      <c r="FD26" s="0"/>
      <c r="FE26" s="0"/>
      <c r="FF26" s="0"/>
      <c r="FG26" s="0"/>
      <c r="FH26" s="0"/>
      <c r="FN26" s="12" t="n">
        <v>36</v>
      </c>
      <c r="FP26" s="12" t="n">
        <v>1</v>
      </c>
      <c r="FQ26" s="12" t="n">
        <v>1</v>
      </c>
      <c r="FR26" s="12" t="n">
        <v>0</v>
      </c>
      <c r="FS26" s="12" t="n">
        <v>0</v>
      </c>
      <c r="FT26" s="12" t="n">
        <v>1</v>
      </c>
      <c r="FU26" s="12" t="n">
        <v>0</v>
      </c>
      <c r="FV26" s="13"/>
      <c r="FW26" s="12" t="n">
        <v>1</v>
      </c>
      <c r="FZ26" s="12" t="n">
        <v>1</v>
      </c>
      <c r="GB26" s="12" t="n">
        <v>1</v>
      </c>
      <c r="GE26" s="12" t="n">
        <v>1</v>
      </c>
      <c r="GF26" s="12" t="n">
        <v>1</v>
      </c>
      <c r="GH26" s="12" t="n">
        <v>1</v>
      </c>
      <c r="GJ26" s="13"/>
      <c r="GK26" s="12" t="n">
        <f aca="false">COUNT(FW26:GI26)</f>
        <v>6</v>
      </c>
      <c r="GP26" s="12" t="n">
        <v>35</v>
      </c>
      <c r="GQ26" s="12"/>
      <c r="GR26" s="12" t="n">
        <v>1</v>
      </c>
      <c r="GS26" s="12" t="n">
        <v>5</v>
      </c>
      <c r="GT26" s="12" t="n">
        <v>0</v>
      </c>
      <c r="GU26" s="12" t="n">
        <v>0</v>
      </c>
      <c r="GV26" s="12" t="n">
        <v>0</v>
      </c>
      <c r="GW26" s="12" t="n">
        <v>0</v>
      </c>
      <c r="GX26" s="13"/>
      <c r="GY26" s="12" t="n">
        <v>1</v>
      </c>
      <c r="GZ26" s="12" t="n">
        <v>1</v>
      </c>
      <c r="HA26" s="12"/>
      <c r="HB26" s="12" t="n">
        <v>1</v>
      </c>
      <c r="HC26" s="12"/>
      <c r="HD26" s="12" t="n">
        <v>1</v>
      </c>
      <c r="HE26" s="12"/>
      <c r="HF26" s="12"/>
      <c r="HG26" s="12" t="n">
        <v>1</v>
      </c>
      <c r="HH26" s="12" t="n">
        <v>1</v>
      </c>
      <c r="HI26" s="12"/>
      <c r="HJ26" s="12" t="n">
        <v>1</v>
      </c>
      <c r="HK26" s="12"/>
      <c r="HL26" s="13"/>
      <c r="HM26" s="12" t="n">
        <f aca="false">COUNT(GY26:HK26)</f>
        <v>7</v>
      </c>
    </row>
    <row r="27" customFormat="false" ht="18.3" hidden="false" customHeight="true" outlineLevel="0" collapsed="false">
      <c r="B27" s="12" t="n">
        <v>23</v>
      </c>
      <c r="D27" s="12" t="n">
        <v>3</v>
      </c>
      <c r="E27" s="12" t="n">
        <v>1</v>
      </c>
      <c r="F27" s="12" t="n">
        <v>0</v>
      </c>
      <c r="G27" s="12" t="n">
        <v>0</v>
      </c>
      <c r="H27" s="12" t="n">
        <v>0</v>
      </c>
      <c r="I27" s="12" t="n">
        <v>0</v>
      </c>
      <c r="J27" s="13"/>
      <c r="K27" s="12" t="n">
        <v>1</v>
      </c>
      <c r="M27" s="12" t="n">
        <v>1</v>
      </c>
      <c r="P27" s="12" t="n">
        <v>1</v>
      </c>
      <c r="S27" s="12" t="n">
        <v>1</v>
      </c>
      <c r="U27" s="12" t="n">
        <v>1</v>
      </c>
      <c r="X27" s="13"/>
      <c r="Y27" s="12" t="n">
        <f aca="false">COUNT(K27:W27)</f>
        <v>5</v>
      </c>
      <c r="AD27" s="12" t="n">
        <v>23</v>
      </c>
      <c r="AF27" s="12" t="n">
        <v>3</v>
      </c>
      <c r="AG27" s="12" t="n">
        <v>1</v>
      </c>
      <c r="AH27" s="12" t="n">
        <v>0</v>
      </c>
      <c r="AI27" s="12" t="n">
        <v>0</v>
      </c>
      <c r="AJ27" s="12" t="n">
        <v>0</v>
      </c>
      <c r="AK27" s="12" t="n">
        <v>0</v>
      </c>
      <c r="AL27" s="13"/>
      <c r="AM27" s="12" t="n">
        <v>1</v>
      </c>
      <c r="AO27" s="12" t="n">
        <v>1</v>
      </c>
      <c r="AR27" s="12" t="n">
        <v>1</v>
      </c>
      <c r="AU27" s="12" t="n">
        <v>1</v>
      </c>
      <c r="AW27" s="12" t="n">
        <v>1</v>
      </c>
      <c r="AZ27" s="13"/>
      <c r="BA27" s="12" t="n">
        <f aca="false">COUNT(AM27:AY27)</f>
        <v>5</v>
      </c>
      <c r="BF27" s="12" t="n">
        <v>23</v>
      </c>
      <c r="BH27" s="12" t="n">
        <v>3</v>
      </c>
      <c r="BI27" s="12" t="n">
        <v>1</v>
      </c>
      <c r="BJ27" s="12" t="n">
        <v>0</v>
      </c>
      <c r="BK27" s="12" t="n">
        <v>0</v>
      </c>
      <c r="BL27" s="12" t="n">
        <v>0</v>
      </c>
      <c r="BM27" s="12" t="n">
        <v>0</v>
      </c>
      <c r="BN27" s="13"/>
      <c r="BO27" s="12" t="n">
        <v>1</v>
      </c>
      <c r="BQ27" s="12" t="n">
        <v>1</v>
      </c>
      <c r="BT27" s="12" t="n">
        <v>1</v>
      </c>
      <c r="BW27" s="12" t="n">
        <v>1</v>
      </c>
      <c r="BY27" s="12" t="n">
        <v>1</v>
      </c>
      <c r="CB27" s="13"/>
      <c r="CC27" s="12" t="n">
        <f aca="false">COUNT(BO27:CA27)</f>
        <v>5</v>
      </c>
      <c r="CH27" s="12" t="n">
        <v>28</v>
      </c>
      <c r="CJ27" s="12" t="n">
        <v>2</v>
      </c>
      <c r="CK27" s="12" t="n">
        <v>0</v>
      </c>
      <c r="CL27" s="12" t="n">
        <v>0</v>
      </c>
      <c r="CM27" s="12" t="n">
        <v>0</v>
      </c>
      <c r="CN27" s="12" t="n">
        <v>1</v>
      </c>
      <c r="CO27" s="12" t="n">
        <v>0</v>
      </c>
      <c r="CP27" s="13"/>
      <c r="CQ27" s="12" t="n">
        <v>1</v>
      </c>
      <c r="CS27" s="12" t="n">
        <v>1</v>
      </c>
      <c r="CT27" s="12" t="n">
        <v>1</v>
      </c>
      <c r="CV27" s="12" t="n">
        <v>1</v>
      </c>
      <c r="CY27" s="12" t="n">
        <v>1</v>
      </c>
      <c r="DB27" s="12" t="n">
        <v>1</v>
      </c>
      <c r="DD27" s="13"/>
      <c r="DE27" s="12" t="n">
        <f aca="false">COUNT(CQ27:DC27)</f>
        <v>6</v>
      </c>
      <c r="DJ27" s="12" t="n">
        <v>32</v>
      </c>
      <c r="DL27" s="12" t="n">
        <v>2</v>
      </c>
      <c r="DM27" s="12" t="n">
        <v>0</v>
      </c>
      <c r="DN27" s="12" t="n">
        <v>0</v>
      </c>
      <c r="DO27" s="12" t="n">
        <v>1</v>
      </c>
      <c r="DP27" s="12" t="n">
        <v>0</v>
      </c>
      <c r="DQ27" s="12" t="n">
        <v>0</v>
      </c>
      <c r="DR27" s="13"/>
      <c r="DS27" s="12" t="n">
        <v>1</v>
      </c>
      <c r="DU27" s="12" t="n">
        <v>1</v>
      </c>
      <c r="DV27" s="12" t="n">
        <v>1</v>
      </c>
      <c r="EA27" s="12" t="n">
        <v>1</v>
      </c>
      <c r="EB27" s="12" t="n">
        <v>1</v>
      </c>
      <c r="ED27" s="12" t="n">
        <v>1</v>
      </c>
      <c r="EF27" s="13"/>
      <c r="EG27" s="12" t="n">
        <f aca="false">COUNT(DS27:EE27)</f>
        <v>6</v>
      </c>
      <c r="EP27" s="12" t="n">
        <v>3</v>
      </c>
      <c r="ES27" s="12" t="n">
        <v>3</v>
      </c>
      <c r="FB27" s="0"/>
      <c r="FC27" s="0"/>
      <c r="FD27" s="0"/>
      <c r="FE27" s="0"/>
      <c r="FF27" s="0"/>
      <c r="FG27" s="0"/>
      <c r="FH27" s="0"/>
      <c r="FN27" s="12" t="n">
        <v>37</v>
      </c>
      <c r="FP27" s="12" t="n">
        <v>1</v>
      </c>
      <c r="FQ27" s="12" t="n">
        <v>4</v>
      </c>
      <c r="FR27" s="12" t="n">
        <v>0</v>
      </c>
      <c r="FS27" s="12" t="n">
        <v>0</v>
      </c>
      <c r="FT27" s="12" t="n">
        <v>0</v>
      </c>
      <c r="FU27" s="12" t="n">
        <v>0</v>
      </c>
      <c r="FV27" s="13"/>
      <c r="FW27" s="12" t="n">
        <v>1</v>
      </c>
      <c r="FZ27" s="12" t="n">
        <v>1</v>
      </c>
      <c r="GB27" s="12" t="n">
        <v>1</v>
      </c>
      <c r="GE27" s="12" t="n">
        <v>1</v>
      </c>
      <c r="GF27" s="12" t="n">
        <v>1</v>
      </c>
      <c r="GH27" s="12" t="n">
        <v>1</v>
      </c>
      <c r="GJ27" s="13"/>
      <c r="GK27" s="12" t="n">
        <f aca="false">COUNT(FW27:GI27)</f>
        <v>6</v>
      </c>
      <c r="GP27" s="12" t="n">
        <v>37</v>
      </c>
      <c r="GQ27" s="12"/>
      <c r="GR27" s="12" t="n">
        <v>1</v>
      </c>
      <c r="GS27" s="12" t="n">
        <v>4</v>
      </c>
      <c r="GT27" s="12" t="n">
        <v>0</v>
      </c>
      <c r="GU27" s="12" t="n">
        <v>0</v>
      </c>
      <c r="GV27" s="12" t="n">
        <v>0</v>
      </c>
      <c r="GW27" s="12" t="n">
        <v>0</v>
      </c>
      <c r="GX27" s="13"/>
      <c r="GY27" s="12" t="n">
        <v>1</v>
      </c>
      <c r="GZ27" s="12"/>
      <c r="HA27" s="12"/>
      <c r="HB27" s="12" t="n">
        <v>1</v>
      </c>
      <c r="HC27" s="12"/>
      <c r="HD27" s="12" t="n">
        <v>1</v>
      </c>
      <c r="HE27" s="12"/>
      <c r="HF27" s="12"/>
      <c r="HG27" s="12" t="n">
        <v>1</v>
      </c>
      <c r="HH27" s="12" t="n">
        <v>1</v>
      </c>
      <c r="HI27" s="12"/>
      <c r="HJ27" s="12" t="n">
        <v>1</v>
      </c>
      <c r="HK27" s="12"/>
      <c r="HL27" s="13"/>
      <c r="HM27" s="12" t="n">
        <f aca="false">COUNT(GY27:HK27)</f>
        <v>6</v>
      </c>
    </row>
    <row r="28" customFormat="false" ht="18.3" hidden="false" customHeight="true" outlineLevel="0" collapsed="false">
      <c r="B28" s="12" t="n">
        <v>24</v>
      </c>
      <c r="D28" s="12" t="n">
        <v>3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3"/>
      <c r="K28" s="12" t="n">
        <v>1</v>
      </c>
      <c r="M28" s="12" t="n">
        <v>1</v>
      </c>
      <c r="S28" s="12" t="n">
        <v>1</v>
      </c>
      <c r="U28" s="12" t="n">
        <v>1</v>
      </c>
      <c r="X28" s="13"/>
      <c r="Y28" s="12" t="n">
        <f aca="false">COUNT(K28:W28)</f>
        <v>4</v>
      </c>
      <c r="AD28" s="12" t="n">
        <v>24</v>
      </c>
      <c r="AF28" s="12" t="n">
        <v>3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3"/>
      <c r="AM28" s="12" t="n">
        <v>1</v>
      </c>
      <c r="AO28" s="12" t="n">
        <v>1</v>
      </c>
      <c r="AU28" s="12" t="n">
        <v>1</v>
      </c>
      <c r="AW28" s="12" t="n">
        <v>1</v>
      </c>
      <c r="AZ28" s="13"/>
      <c r="BA28" s="12" t="n">
        <f aca="false">COUNT(AM28:AY28)</f>
        <v>4</v>
      </c>
      <c r="BF28" s="12" t="n">
        <v>24</v>
      </c>
      <c r="BH28" s="12" t="n">
        <v>3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3"/>
      <c r="BO28" s="12" t="n">
        <v>1</v>
      </c>
      <c r="BQ28" s="12" t="n">
        <v>1</v>
      </c>
      <c r="BW28" s="12" t="n">
        <v>1</v>
      </c>
      <c r="BY28" s="12" t="n">
        <v>1</v>
      </c>
      <c r="CB28" s="13"/>
      <c r="CC28" s="12" t="n">
        <f aca="false">COUNT(BO28:CA28)</f>
        <v>4</v>
      </c>
      <c r="CH28" s="12" t="n">
        <v>29</v>
      </c>
      <c r="CJ28" s="12" t="n">
        <v>2</v>
      </c>
      <c r="CK28" s="12" t="n">
        <v>3</v>
      </c>
      <c r="CL28" s="12" t="n">
        <v>0</v>
      </c>
      <c r="CM28" s="12" t="n">
        <v>0</v>
      </c>
      <c r="CN28" s="12" t="n">
        <v>0</v>
      </c>
      <c r="CO28" s="12" t="n">
        <v>0</v>
      </c>
      <c r="CP28" s="13"/>
      <c r="CQ28" s="12" t="n">
        <v>1</v>
      </c>
      <c r="CS28" s="12" t="n">
        <v>1</v>
      </c>
      <c r="CT28" s="12" t="n">
        <v>1</v>
      </c>
      <c r="CV28" s="12" t="n">
        <v>1</v>
      </c>
      <c r="CY28" s="12" t="n">
        <v>1</v>
      </c>
      <c r="DB28" s="12" t="n">
        <v>1</v>
      </c>
      <c r="DD28" s="13"/>
      <c r="DE28" s="12" t="n">
        <f aca="false">COUNT(CQ28:DC28)</f>
        <v>6</v>
      </c>
      <c r="DJ28" s="12" t="n">
        <v>34</v>
      </c>
      <c r="DL28" s="12" t="n">
        <v>1</v>
      </c>
      <c r="DM28" s="12" t="n">
        <v>2</v>
      </c>
      <c r="DN28" s="12" t="n">
        <v>0</v>
      </c>
      <c r="DO28" s="12" t="n">
        <v>0</v>
      </c>
      <c r="DP28" s="12" t="n">
        <v>1</v>
      </c>
      <c r="DQ28" s="12" t="n">
        <v>0</v>
      </c>
      <c r="DR28" s="13"/>
      <c r="DS28" s="12" t="n">
        <v>1</v>
      </c>
      <c r="DT28" s="12" t="n">
        <v>1</v>
      </c>
      <c r="DV28" s="12" t="n">
        <v>1</v>
      </c>
      <c r="DX28" s="12" t="n">
        <v>1</v>
      </c>
      <c r="EA28" s="12" t="n">
        <v>1</v>
      </c>
      <c r="EB28" s="12" t="n">
        <v>1</v>
      </c>
      <c r="ED28" s="12" t="n">
        <v>1</v>
      </c>
      <c r="EF28" s="13"/>
      <c r="EG28" s="12" t="n">
        <f aca="false">COUNT(DS28:EE28)</f>
        <v>7</v>
      </c>
      <c r="EP28" s="12" t="n">
        <v>2</v>
      </c>
      <c r="ES28" s="12" t="n">
        <v>2</v>
      </c>
      <c r="FN28" s="12" t="n">
        <v>38</v>
      </c>
      <c r="FP28" s="12" t="n">
        <v>1</v>
      </c>
      <c r="FQ28" s="12" t="n">
        <v>3</v>
      </c>
      <c r="FR28" s="12" t="n">
        <v>0</v>
      </c>
      <c r="FS28" s="12" t="n">
        <v>0</v>
      </c>
      <c r="FT28" s="12" t="n">
        <v>0</v>
      </c>
      <c r="FU28" s="12" t="n">
        <v>0</v>
      </c>
      <c r="FV28" s="13"/>
      <c r="FW28" s="12" t="n">
        <v>1</v>
      </c>
      <c r="FZ28" s="12" t="n">
        <v>1</v>
      </c>
      <c r="GB28" s="12" t="n">
        <v>1</v>
      </c>
      <c r="GE28" s="12" t="n">
        <v>1</v>
      </c>
      <c r="GH28" s="12" t="n">
        <v>1</v>
      </c>
      <c r="GJ28" s="13"/>
      <c r="GK28" s="12" t="n">
        <f aca="false">COUNT(FW28:GI28)</f>
        <v>5</v>
      </c>
      <c r="GP28" s="12" t="n">
        <v>38</v>
      </c>
      <c r="GQ28" s="12"/>
      <c r="GR28" s="12" t="n">
        <v>1</v>
      </c>
      <c r="GS28" s="12" t="n">
        <v>3</v>
      </c>
      <c r="GT28" s="12" t="n">
        <v>0</v>
      </c>
      <c r="GU28" s="12" t="n">
        <v>0</v>
      </c>
      <c r="GV28" s="12" t="n">
        <v>0</v>
      </c>
      <c r="GW28" s="12" t="n">
        <v>0</v>
      </c>
      <c r="GX28" s="13"/>
      <c r="GY28" s="12" t="n">
        <v>1</v>
      </c>
      <c r="GZ28" s="12"/>
      <c r="HA28" s="12"/>
      <c r="HB28" s="12" t="n">
        <v>1</v>
      </c>
      <c r="HC28" s="12"/>
      <c r="HD28" s="12" t="n">
        <v>1</v>
      </c>
      <c r="HE28" s="12"/>
      <c r="HF28" s="12"/>
      <c r="HG28" s="12" t="n">
        <v>1</v>
      </c>
      <c r="HH28" s="12"/>
      <c r="HI28" s="12"/>
      <c r="HJ28" s="12" t="n">
        <v>1</v>
      </c>
      <c r="HK28" s="12"/>
      <c r="HL28" s="13"/>
      <c r="HM28" s="12" t="n">
        <f aca="false">COUNT(GY28:HK28)</f>
        <v>5</v>
      </c>
    </row>
    <row r="29" customFormat="false" ht="18.3" hidden="false" customHeight="true" outlineLevel="0" collapsed="false">
      <c r="B29" s="12" t="n">
        <v>25</v>
      </c>
      <c r="D29" s="12" t="n">
        <v>0</v>
      </c>
      <c r="E29" s="12" t="n">
        <v>1</v>
      </c>
      <c r="F29" s="12" t="n">
        <v>0</v>
      </c>
      <c r="G29" s="12" t="n">
        <v>0</v>
      </c>
      <c r="H29" s="12" t="n">
        <v>0</v>
      </c>
      <c r="I29" s="12" t="n">
        <v>1</v>
      </c>
      <c r="J29" s="13"/>
      <c r="K29" s="12" t="n">
        <v>1</v>
      </c>
      <c r="M29" s="12" t="n">
        <v>1</v>
      </c>
      <c r="P29" s="12" t="n">
        <v>1</v>
      </c>
      <c r="U29" s="12" t="n">
        <v>1</v>
      </c>
      <c r="X29" s="13"/>
      <c r="Y29" s="12" t="n">
        <f aca="false">COUNT(K29:W29)</f>
        <v>4</v>
      </c>
      <c r="AD29" s="12" t="n">
        <v>25</v>
      </c>
      <c r="AF29" s="12" t="n">
        <v>0</v>
      </c>
      <c r="AG29" s="12" t="n">
        <v>1</v>
      </c>
      <c r="AH29" s="12" t="n">
        <v>0</v>
      </c>
      <c r="AI29" s="12" t="n">
        <v>0</v>
      </c>
      <c r="AJ29" s="12" t="n">
        <v>0</v>
      </c>
      <c r="AK29" s="12" t="n">
        <v>1</v>
      </c>
      <c r="AL29" s="13"/>
      <c r="AM29" s="12" t="n">
        <v>1</v>
      </c>
      <c r="AO29" s="12" t="n">
        <v>1</v>
      </c>
      <c r="AR29" s="12" t="n">
        <v>1</v>
      </c>
      <c r="AW29" s="12" t="n">
        <v>1</v>
      </c>
      <c r="AZ29" s="13"/>
      <c r="BA29" s="12" t="n">
        <f aca="false">COUNT(AM29:AY29)</f>
        <v>4</v>
      </c>
      <c r="BF29" s="12" t="n">
        <v>25</v>
      </c>
      <c r="BH29" s="12" t="n">
        <v>0</v>
      </c>
      <c r="BI29" s="12" t="n">
        <v>1</v>
      </c>
      <c r="BJ29" s="12" t="n">
        <v>0</v>
      </c>
      <c r="BK29" s="12" t="n">
        <v>0</v>
      </c>
      <c r="BL29" s="12" t="n">
        <v>0</v>
      </c>
      <c r="BM29" s="12" t="n">
        <v>1</v>
      </c>
      <c r="BN29" s="13"/>
      <c r="BO29" s="12" t="n">
        <v>1</v>
      </c>
      <c r="BQ29" s="12" t="n">
        <v>1</v>
      </c>
      <c r="BT29" s="12" t="n">
        <v>1</v>
      </c>
      <c r="BY29" s="12" t="n">
        <v>1</v>
      </c>
      <c r="CB29" s="13"/>
      <c r="CC29" s="12" t="n">
        <f aca="false">COUNT(BO29:CA29)</f>
        <v>4</v>
      </c>
      <c r="CH29" s="12" t="n">
        <v>30</v>
      </c>
      <c r="CJ29" s="12" t="n">
        <v>2</v>
      </c>
      <c r="CK29" s="12" t="n">
        <v>2</v>
      </c>
      <c r="CL29" s="12" t="n">
        <v>0</v>
      </c>
      <c r="CM29" s="12" t="n">
        <v>0</v>
      </c>
      <c r="CN29" s="12" t="n">
        <v>0</v>
      </c>
      <c r="CO29" s="12" t="n">
        <v>0</v>
      </c>
      <c r="CP29" s="13"/>
      <c r="CQ29" s="12" t="n">
        <v>1</v>
      </c>
      <c r="CS29" s="12" t="n">
        <v>1</v>
      </c>
      <c r="CV29" s="12" t="n">
        <v>1</v>
      </c>
      <c r="CY29" s="12" t="n">
        <v>1</v>
      </c>
      <c r="DB29" s="12" t="n">
        <v>1</v>
      </c>
      <c r="DD29" s="13"/>
      <c r="DE29" s="12" t="n">
        <f aca="false">COUNT(CQ29:DC29)</f>
        <v>5</v>
      </c>
      <c r="DJ29" s="12" t="n">
        <v>35</v>
      </c>
      <c r="DL29" s="12" t="n">
        <v>1</v>
      </c>
      <c r="DM29" s="12" t="n">
        <v>5</v>
      </c>
      <c r="DN29" s="12" t="n">
        <v>0</v>
      </c>
      <c r="DO29" s="12" t="n">
        <v>0</v>
      </c>
      <c r="DP29" s="12" t="n">
        <v>0</v>
      </c>
      <c r="DQ29" s="12" t="n">
        <v>0</v>
      </c>
      <c r="DR29" s="13"/>
      <c r="DS29" s="12" t="n">
        <v>1</v>
      </c>
      <c r="DT29" s="12" t="n">
        <v>1</v>
      </c>
      <c r="DV29" s="12" t="n">
        <v>1</v>
      </c>
      <c r="DX29" s="12" t="n">
        <v>1</v>
      </c>
      <c r="EA29" s="12" t="n">
        <v>1</v>
      </c>
      <c r="EB29" s="12" t="n">
        <v>1</v>
      </c>
      <c r="ED29" s="12" t="n">
        <v>1</v>
      </c>
      <c r="EF29" s="13"/>
      <c r="EG29" s="12" t="n">
        <f aca="false">COUNT(DS29:EE29)</f>
        <v>7</v>
      </c>
      <c r="FN29" s="12" t="n">
        <v>39</v>
      </c>
      <c r="FP29" s="12" t="n">
        <v>1</v>
      </c>
      <c r="FQ29" s="12" t="n">
        <v>2</v>
      </c>
      <c r="FR29" s="12" t="n">
        <v>0</v>
      </c>
      <c r="FS29" s="12" t="n">
        <v>0</v>
      </c>
      <c r="FT29" s="12" t="n">
        <v>0</v>
      </c>
      <c r="FU29" s="12" t="n">
        <v>0</v>
      </c>
      <c r="FV29" s="13"/>
      <c r="FW29" s="12" t="n">
        <v>1</v>
      </c>
      <c r="GB29" s="12" t="n">
        <v>1</v>
      </c>
      <c r="GE29" s="12" t="n">
        <v>1</v>
      </c>
      <c r="GH29" s="12" t="n">
        <v>1</v>
      </c>
      <c r="GJ29" s="13"/>
      <c r="GK29" s="12" t="n">
        <f aca="false">COUNT(FW29:GI29)</f>
        <v>4</v>
      </c>
      <c r="GP29" s="12" t="n">
        <v>39</v>
      </c>
      <c r="GQ29" s="12"/>
      <c r="GR29" s="12" t="n">
        <v>1</v>
      </c>
      <c r="GS29" s="12" t="n">
        <v>2</v>
      </c>
      <c r="GT29" s="12" t="n">
        <v>0</v>
      </c>
      <c r="GU29" s="12" t="n">
        <v>0</v>
      </c>
      <c r="GV29" s="12" t="n">
        <v>0</v>
      </c>
      <c r="GW29" s="12" t="n">
        <v>0</v>
      </c>
      <c r="GX29" s="13"/>
      <c r="GY29" s="12" t="n">
        <v>1</v>
      </c>
      <c r="GZ29" s="12"/>
      <c r="HA29" s="12"/>
      <c r="HB29" s="12"/>
      <c r="HC29" s="12"/>
      <c r="HD29" s="12" t="n">
        <v>1</v>
      </c>
      <c r="HE29" s="12"/>
      <c r="HF29" s="12"/>
      <c r="HG29" s="12" t="n">
        <v>1</v>
      </c>
      <c r="HH29" s="12"/>
      <c r="HI29" s="12"/>
      <c r="HJ29" s="12" t="n">
        <v>1</v>
      </c>
      <c r="HK29" s="12"/>
      <c r="HL29" s="13"/>
      <c r="HM29" s="12" t="n">
        <f aca="false">COUNT(GY29:HK29)</f>
        <v>4</v>
      </c>
    </row>
    <row r="30" customFormat="false" ht="18.3" hidden="false" customHeight="true" outlineLevel="0" collapsed="false">
      <c r="B30" s="12" t="n">
        <v>26</v>
      </c>
      <c r="D30" s="12" t="n">
        <v>2</v>
      </c>
      <c r="E30" s="12" t="n">
        <v>1</v>
      </c>
      <c r="F30" s="12" t="n">
        <v>0</v>
      </c>
      <c r="G30" s="12" t="n">
        <v>0</v>
      </c>
      <c r="H30" s="12" t="n">
        <v>1</v>
      </c>
      <c r="I30" s="12" t="n">
        <v>0</v>
      </c>
      <c r="J30" s="13"/>
      <c r="K30" s="12" t="n">
        <v>1</v>
      </c>
      <c r="M30" s="12" t="n">
        <v>1</v>
      </c>
      <c r="N30" s="12" t="n">
        <v>1</v>
      </c>
      <c r="P30" s="12" t="n">
        <v>1</v>
      </c>
      <c r="S30" s="12" t="n">
        <v>1</v>
      </c>
      <c r="T30" s="12" t="n">
        <v>1</v>
      </c>
      <c r="V30" s="12" t="n">
        <v>1</v>
      </c>
      <c r="X30" s="13"/>
      <c r="Y30" s="12" t="n">
        <f aca="false">COUNT(K30:W30)</f>
        <v>7</v>
      </c>
      <c r="AD30" s="12" t="n">
        <v>26</v>
      </c>
      <c r="AF30" s="12" t="n">
        <v>2</v>
      </c>
      <c r="AG30" s="12" t="n">
        <v>1</v>
      </c>
      <c r="AH30" s="12" t="n">
        <v>0</v>
      </c>
      <c r="AI30" s="12" t="n">
        <v>0</v>
      </c>
      <c r="AJ30" s="12" t="n">
        <v>1</v>
      </c>
      <c r="AK30" s="12" t="n">
        <v>0</v>
      </c>
      <c r="AL30" s="13"/>
      <c r="AM30" s="12" t="n">
        <v>1</v>
      </c>
      <c r="AO30" s="12" t="n">
        <v>1</v>
      </c>
      <c r="AP30" s="12" t="n">
        <v>1</v>
      </c>
      <c r="AR30" s="12" t="n">
        <v>1</v>
      </c>
      <c r="AU30" s="12" t="n">
        <v>1</v>
      </c>
      <c r="AV30" s="12" t="n">
        <v>1</v>
      </c>
      <c r="AX30" s="12" t="n">
        <v>1</v>
      </c>
      <c r="AZ30" s="13"/>
      <c r="BA30" s="12" t="n">
        <f aca="false">COUNT(AM30:AY30)</f>
        <v>7</v>
      </c>
      <c r="BF30" s="12" t="n">
        <v>26</v>
      </c>
      <c r="BH30" s="12" t="n">
        <v>2</v>
      </c>
      <c r="BI30" s="12" t="n">
        <v>1</v>
      </c>
      <c r="BJ30" s="12" t="n">
        <v>0</v>
      </c>
      <c r="BK30" s="12" t="n">
        <v>0</v>
      </c>
      <c r="BL30" s="12" t="n">
        <v>1</v>
      </c>
      <c r="BM30" s="12" t="n">
        <v>0</v>
      </c>
      <c r="BN30" s="13"/>
      <c r="BO30" s="12" t="n">
        <v>1</v>
      </c>
      <c r="BQ30" s="12" t="n">
        <v>1</v>
      </c>
      <c r="BR30" s="12" t="n">
        <v>1</v>
      </c>
      <c r="BT30" s="12" t="n">
        <v>1</v>
      </c>
      <c r="BW30" s="12" t="n">
        <v>1</v>
      </c>
      <c r="BX30" s="12" t="n">
        <v>1</v>
      </c>
      <c r="BZ30" s="12" t="n">
        <v>1</v>
      </c>
      <c r="CB30" s="13"/>
      <c r="CC30" s="12" t="n">
        <f aca="false">COUNT(BO30:CA30)</f>
        <v>7</v>
      </c>
      <c r="CH30" s="12" t="n">
        <v>32</v>
      </c>
      <c r="CJ30" s="12" t="n">
        <v>2</v>
      </c>
      <c r="CK30" s="12" t="n">
        <v>0</v>
      </c>
      <c r="CL30" s="12" t="n">
        <v>0</v>
      </c>
      <c r="CM30" s="12" t="n">
        <v>1</v>
      </c>
      <c r="CN30" s="12" t="n">
        <v>0</v>
      </c>
      <c r="CO30" s="12" t="n">
        <v>0</v>
      </c>
      <c r="CP30" s="13"/>
      <c r="CQ30" s="12" t="n">
        <v>1</v>
      </c>
      <c r="CS30" s="12" t="n">
        <v>1</v>
      </c>
      <c r="CT30" s="12" t="n">
        <v>1</v>
      </c>
      <c r="CY30" s="12" t="n">
        <v>1</v>
      </c>
      <c r="CZ30" s="12" t="n">
        <v>1</v>
      </c>
      <c r="DB30" s="12" t="n">
        <v>1</v>
      </c>
      <c r="DD30" s="13"/>
      <c r="DE30" s="12" t="n">
        <f aca="false">COUNT(CQ30:DC30)</f>
        <v>6</v>
      </c>
      <c r="DJ30" s="12" t="n">
        <v>36</v>
      </c>
      <c r="DL30" s="12" t="n">
        <v>1</v>
      </c>
      <c r="DM30" s="12" t="n">
        <v>1</v>
      </c>
      <c r="DN30" s="12" t="n">
        <v>0</v>
      </c>
      <c r="DO30" s="12" t="n">
        <v>0</v>
      </c>
      <c r="DP30" s="12" t="n">
        <v>1</v>
      </c>
      <c r="DQ30" s="12" t="n">
        <v>0</v>
      </c>
      <c r="DR30" s="13"/>
      <c r="DS30" s="12" t="n">
        <v>1</v>
      </c>
      <c r="DV30" s="12" t="n">
        <v>1</v>
      </c>
      <c r="DX30" s="12" t="n">
        <v>1</v>
      </c>
      <c r="EA30" s="12" t="n">
        <v>1</v>
      </c>
      <c r="EB30" s="12" t="n">
        <v>1</v>
      </c>
      <c r="ED30" s="12" t="n">
        <v>1</v>
      </c>
      <c r="EF30" s="13"/>
      <c r="EG30" s="12" t="n">
        <f aca="false">COUNT(DS30:EE30)</f>
        <v>6</v>
      </c>
      <c r="FN30" s="12" t="n">
        <v>40</v>
      </c>
      <c r="FP30" s="12" t="n">
        <v>1</v>
      </c>
      <c r="FQ30" s="12" t="n">
        <v>1</v>
      </c>
      <c r="FR30" s="12" t="n">
        <v>0</v>
      </c>
      <c r="FS30" s="12" t="n">
        <v>1</v>
      </c>
      <c r="FT30" s="12" t="n">
        <v>0</v>
      </c>
      <c r="FU30" s="12" t="n">
        <v>0</v>
      </c>
      <c r="FV30" s="13"/>
      <c r="FW30" s="12" t="n">
        <v>1</v>
      </c>
      <c r="FX30" s="12" t="n">
        <v>1</v>
      </c>
      <c r="FZ30" s="12" t="n">
        <v>1</v>
      </c>
      <c r="GB30" s="12" t="n">
        <v>1</v>
      </c>
      <c r="GE30" s="12" t="n">
        <v>1</v>
      </c>
      <c r="GF30" s="12" t="n">
        <v>1</v>
      </c>
      <c r="GJ30" s="13"/>
      <c r="GK30" s="12" t="n">
        <f aca="false">COUNT(FW30:GI30)</f>
        <v>6</v>
      </c>
      <c r="GP30" s="12" t="n">
        <v>40</v>
      </c>
      <c r="GQ30" s="12"/>
      <c r="GR30" s="12" t="n">
        <v>1</v>
      </c>
      <c r="GS30" s="12" t="n">
        <v>1</v>
      </c>
      <c r="GT30" s="12" t="n">
        <v>0</v>
      </c>
      <c r="GU30" s="12" t="n">
        <v>1</v>
      </c>
      <c r="GV30" s="12" t="n">
        <v>0</v>
      </c>
      <c r="GW30" s="12" t="n">
        <v>0</v>
      </c>
      <c r="GX30" s="13"/>
      <c r="GY30" s="12" t="n">
        <v>1</v>
      </c>
      <c r="GZ30" s="12" t="n">
        <v>1</v>
      </c>
      <c r="HA30" s="12"/>
      <c r="HB30" s="12" t="n">
        <v>1</v>
      </c>
      <c r="HC30" s="12"/>
      <c r="HD30" s="12" t="n">
        <v>1</v>
      </c>
      <c r="HE30" s="12"/>
      <c r="HF30" s="12"/>
      <c r="HG30" s="12" t="n">
        <v>1</v>
      </c>
      <c r="HH30" s="12" t="n">
        <v>1</v>
      </c>
      <c r="HI30" s="12"/>
      <c r="HJ30" s="12"/>
      <c r="HK30" s="12"/>
      <c r="HL30" s="13"/>
      <c r="HM30" s="12" t="n">
        <f aca="false">COUNT(GY30:HK30)</f>
        <v>6</v>
      </c>
    </row>
    <row r="31" customFormat="false" ht="18.3" hidden="false" customHeight="true" outlineLevel="0" collapsed="false">
      <c r="B31" s="12" t="n">
        <v>27</v>
      </c>
      <c r="D31" s="12" t="n">
        <v>2</v>
      </c>
      <c r="E31" s="12" t="n">
        <v>4</v>
      </c>
      <c r="F31" s="12" t="n">
        <v>0</v>
      </c>
      <c r="G31" s="12" t="n">
        <v>0</v>
      </c>
      <c r="H31" s="12" t="n">
        <v>0</v>
      </c>
      <c r="I31" s="12" t="n">
        <v>0</v>
      </c>
      <c r="J31" s="13"/>
      <c r="K31" s="12" t="n">
        <v>1</v>
      </c>
      <c r="M31" s="12" t="n">
        <v>1</v>
      </c>
      <c r="N31" s="12" t="n">
        <v>1</v>
      </c>
      <c r="P31" s="12" t="n">
        <v>1</v>
      </c>
      <c r="S31" s="12" t="n">
        <v>1</v>
      </c>
      <c r="T31" s="12" t="n">
        <v>1</v>
      </c>
      <c r="V31" s="12" t="n">
        <v>1</v>
      </c>
      <c r="X31" s="13"/>
      <c r="Y31" s="12" t="n">
        <f aca="false">COUNT(K31:W31)</f>
        <v>7</v>
      </c>
      <c r="AD31" s="12" t="n">
        <v>27</v>
      </c>
      <c r="AF31" s="12" t="n">
        <v>2</v>
      </c>
      <c r="AG31" s="12" t="n">
        <v>4</v>
      </c>
      <c r="AH31" s="12" t="n">
        <v>0</v>
      </c>
      <c r="AI31" s="12" t="n">
        <v>0</v>
      </c>
      <c r="AJ31" s="12" t="n">
        <v>0</v>
      </c>
      <c r="AK31" s="12" t="n">
        <v>0</v>
      </c>
      <c r="AL31" s="13"/>
      <c r="AM31" s="12" t="n">
        <v>1</v>
      </c>
      <c r="AO31" s="12" t="n">
        <v>1</v>
      </c>
      <c r="AP31" s="12" t="n">
        <v>1</v>
      </c>
      <c r="AR31" s="12" t="n">
        <v>1</v>
      </c>
      <c r="AU31" s="12" t="n">
        <v>1</v>
      </c>
      <c r="AV31" s="12" t="n">
        <v>1</v>
      </c>
      <c r="AX31" s="12" t="n">
        <v>1</v>
      </c>
      <c r="AZ31" s="13"/>
      <c r="BA31" s="12" t="n">
        <f aca="false">COUNT(AM31:AY31)</f>
        <v>7</v>
      </c>
      <c r="BF31" s="12" t="n">
        <v>27</v>
      </c>
      <c r="BH31" s="12" t="n">
        <v>2</v>
      </c>
      <c r="BI31" s="12" t="n">
        <v>4</v>
      </c>
      <c r="BJ31" s="12" t="n">
        <v>0</v>
      </c>
      <c r="BK31" s="12" t="n">
        <v>0</v>
      </c>
      <c r="BL31" s="12" t="n">
        <v>0</v>
      </c>
      <c r="BM31" s="12" t="n">
        <v>0</v>
      </c>
      <c r="BN31" s="13"/>
      <c r="BO31" s="12" t="n">
        <v>1</v>
      </c>
      <c r="BQ31" s="12" t="n">
        <v>1</v>
      </c>
      <c r="BR31" s="12" t="n">
        <v>1</v>
      </c>
      <c r="BT31" s="12" t="n">
        <v>1</v>
      </c>
      <c r="BW31" s="12" t="n">
        <v>1</v>
      </c>
      <c r="BX31" s="12" t="n">
        <v>1</v>
      </c>
      <c r="BZ31" s="12" t="n">
        <v>1</v>
      </c>
      <c r="CB31" s="13"/>
      <c r="CC31" s="12" t="n">
        <f aca="false">COUNT(BO31:CA31)</f>
        <v>7</v>
      </c>
      <c r="CH31" s="12" t="n">
        <v>34</v>
      </c>
      <c r="CJ31" s="12" t="n">
        <v>1</v>
      </c>
      <c r="CK31" s="12" t="n">
        <v>2</v>
      </c>
      <c r="CL31" s="12" t="n">
        <v>0</v>
      </c>
      <c r="CM31" s="12" t="n">
        <v>0</v>
      </c>
      <c r="CN31" s="12" t="n">
        <v>1</v>
      </c>
      <c r="CO31" s="12" t="n">
        <v>0</v>
      </c>
      <c r="CP31" s="13"/>
      <c r="CQ31" s="12" t="n">
        <v>1</v>
      </c>
      <c r="CR31" s="12" t="n">
        <v>1</v>
      </c>
      <c r="CT31" s="12" t="n">
        <v>1</v>
      </c>
      <c r="CV31" s="12" t="n">
        <v>1</v>
      </c>
      <c r="CY31" s="12" t="n">
        <v>1</v>
      </c>
      <c r="CZ31" s="12" t="n">
        <v>1</v>
      </c>
      <c r="DB31" s="12" t="n">
        <v>1</v>
      </c>
      <c r="DD31" s="13"/>
      <c r="DE31" s="12" t="n">
        <f aca="false">COUNT(CQ31:DC31)</f>
        <v>7</v>
      </c>
      <c r="DJ31" s="12" t="n">
        <v>37</v>
      </c>
      <c r="DL31" s="12" t="n">
        <v>1</v>
      </c>
      <c r="DM31" s="12" t="n">
        <v>4</v>
      </c>
      <c r="DN31" s="12" t="n">
        <v>0</v>
      </c>
      <c r="DO31" s="12" t="n">
        <v>0</v>
      </c>
      <c r="DP31" s="12" t="n">
        <v>0</v>
      </c>
      <c r="DQ31" s="12" t="n">
        <v>0</v>
      </c>
      <c r="DR31" s="13"/>
      <c r="DS31" s="12" t="n">
        <v>1</v>
      </c>
      <c r="DV31" s="12" t="n">
        <v>1</v>
      </c>
      <c r="DX31" s="12" t="n">
        <v>1</v>
      </c>
      <c r="EA31" s="12" t="n">
        <v>1</v>
      </c>
      <c r="EB31" s="12" t="n">
        <v>1</v>
      </c>
      <c r="ED31" s="12" t="n">
        <v>1</v>
      </c>
      <c r="EF31" s="13"/>
      <c r="EG31" s="12" t="n">
        <f aca="false">COUNT(DS31:EE31)</f>
        <v>6</v>
      </c>
      <c r="FN31" s="12" t="n">
        <v>42</v>
      </c>
      <c r="FP31" s="12" t="n">
        <v>1</v>
      </c>
      <c r="FQ31" s="12" t="n">
        <v>0</v>
      </c>
      <c r="FR31" s="12" t="n">
        <v>0</v>
      </c>
      <c r="FS31" s="12" t="n">
        <v>0</v>
      </c>
      <c r="FT31" s="12" t="n">
        <v>1</v>
      </c>
      <c r="FU31" s="12" t="n">
        <v>0</v>
      </c>
      <c r="FV31" s="13"/>
      <c r="FW31" s="12" t="n">
        <v>1</v>
      </c>
      <c r="FZ31" s="12" t="n">
        <v>1</v>
      </c>
      <c r="GE31" s="12" t="n">
        <v>1</v>
      </c>
      <c r="GH31" s="12" t="n">
        <v>1</v>
      </c>
      <c r="GJ31" s="13"/>
      <c r="GK31" s="12" t="n">
        <f aca="false">COUNT(FW31:GI31)</f>
        <v>4</v>
      </c>
      <c r="GP31" s="12" t="n">
        <v>41</v>
      </c>
      <c r="GQ31" s="12"/>
      <c r="GR31" s="12" t="n">
        <v>1</v>
      </c>
      <c r="GS31" s="12" t="n">
        <v>1</v>
      </c>
      <c r="GT31" s="12" t="n">
        <v>0</v>
      </c>
      <c r="GU31" s="12" t="n">
        <v>0</v>
      </c>
      <c r="GV31" s="12" t="n">
        <v>0</v>
      </c>
      <c r="GW31" s="12" t="n">
        <v>0</v>
      </c>
      <c r="GX31" s="13"/>
      <c r="GY31" s="12" t="n">
        <v>1</v>
      </c>
      <c r="GZ31" s="12"/>
      <c r="HA31" s="12"/>
      <c r="HB31" s="12"/>
      <c r="HC31" s="12"/>
      <c r="HD31" s="12" t="n">
        <v>1</v>
      </c>
      <c r="HE31" s="12"/>
      <c r="HF31" s="12"/>
      <c r="HG31" s="12" t="n">
        <v>1</v>
      </c>
      <c r="HH31" s="12"/>
      <c r="HI31" s="12"/>
      <c r="HJ31" s="12"/>
      <c r="HK31" s="12"/>
      <c r="HL31" s="13"/>
      <c r="HM31" s="12" t="n">
        <f aca="false">COUNT(GY31:HK31)</f>
        <v>3</v>
      </c>
    </row>
    <row r="32" customFormat="false" ht="18.3" hidden="false" customHeight="true" outlineLevel="0" collapsed="false">
      <c r="B32" s="12" t="n">
        <v>28</v>
      </c>
      <c r="D32" s="12" t="n">
        <v>2</v>
      </c>
      <c r="E32" s="12" t="n">
        <v>0</v>
      </c>
      <c r="F32" s="12" t="n">
        <v>0</v>
      </c>
      <c r="G32" s="12" t="n">
        <v>0</v>
      </c>
      <c r="H32" s="12" t="n">
        <v>1</v>
      </c>
      <c r="I32" s="12" t="n">
        <v>0</v>
      </c>
      <c r="J32" s="13"/>
      <c r="K32" s="12" t="n">
        <v>1</v>
      </c>
      <c r="M32" s="12" t="n">
        <v>1</v>
      </c>
      <c r="N32" s="12" t="n">
        <v>1</v>
      </c>
      <c r="P32" s="12" t="n">
        <v>1</v>
      </c>
      <c r="S32" s="12" t="n">
        <v>1</v>
      </c>
      <c r="V32" s="12" t="n">
        <v>1</v>
      </c>
      <c r="X32" s="13"/>
      <c r="Y32" s="12" t="n">
        <f aca="false">COUNT(K32:W32)</f>
        <v>6</v>
      </c>
      <c r="AD32" s="12" t="n">
        <v>28</v>
      </c>
      <c r="AF32" s="12" t="n">
        <v>2</v>
      </c>
      <c r="AG32" s="12" t="n">
        <v>0</v>
      </c>
      <c r="AH32" s="12" t="n">
        <v>0</v>
      </c>
      <c r="AI32" s="12" t="n">
        <v>0</v>
      </c>
      <c r="AJ32" s="12" t="n">
        <v>1</v>
      </c>
      <c r="AK32" s="12" t="n">
        <v>0</v>
      </c>
      <c r="AL32" s="13"/>
      <c r="AM32" s="12" t="n">
        <v>1</v>
      </c>
      <c r="AO32" s="12" t="n">
        <v>1</v>
      </c>
      <c r="AP32" s="12" t="n">
        <v>1</v>
      </c>
      <c r="AR32" s="12" t="n">
        <v>1</v>
      </c>
      <c r="AU32" s="12" t="n">
        <v>1</v>
      </c>
      <c r="AX32" s="12" t="n">
        <v>1</v>
      </c>
      <c r="AZ32" s="13"/>
      <c r="BA32" s="12" t="n">
        <f aca="false">COUNT(AM32:AY32)</f>
        <v>6</v>
      </c>
      <c r="BF32" s="12" t="n">
        <v>28</v>
      </c>
      <c r="BH32" s="12" t="n">
        <v>2</v>
      </c>
      <c r="BI32" s="12" t="n">
        <v>0</v>
      </c>
      <c r="BJ32" s="12" t="n">
        <v>0</v>
      </c>
      <c r="BK32" s="12" t="n">
        <v>0</v>
      </c>
      <c r="BL32" s="12" t="n">
        <v>1</v>
      </c>
      <c r="BM32" s="12" t="n">
        <v>0</v>
      </c>
      <c r="BN32" s="13"/>
      <c r="BO32" s="12" t="n">
        <v>1</v>
      </c>
      <c r="BQ32" s="12" t="n">
        <v>1</v>
      </c>
      <c r="BR32" s="12" t="n">
        <v>1</v>
      </c>
      <c r="BT32" s="12" t="n">
        <v>1</v>
      </c>
      <c r="BW32" s="12" t="n">
        <v>1</v>
      </c>
      <c r="BZ32" s="12" t="n">
        <v>1</v>
      </c>
      <c r="CB32" s="13"/>
      <c r="CC32" s="12" t="n">
        <f aca="false">COUNT(BO32:CA32)</f>
        <v>6</v>
      </c>
      <c r="CH32" s="12" t="n">
        <v>35</v>
      </c>
      <c r="CJ32" s="12" t="n">
        <v>1</v>
      </c>
      <c r="CK32" s="12" t="n">
        <v>5</v>
      </c>
      <c r="CL32" s="12" t="n">
        <v>0</v>
      </c>
      <c r="CM32" s="12" t="n">
        <v>0</v>
      </c>
      <c r="CN32" s="12" t="n">
        <v>0</v>
      </c>
      <c r="CO32" s="12" t="n">
        <v>0</v>
      </c>
      <c r="CP32" s="13"/>
      <c r="CQ32" s="12" t="n">
        <v>1</v>
      </c>
      <c r="CR32" s="12" t="n">
        <v>1</v>
      </c>
      <c r="CT32" s="12" t="n">
        <v>1</v>
      </c>
      <c r="CV32" s="12" t="n">
        <v>1</v>
      </c>
      <c r="CY32" s="12" t="n">
        <v>1</v>
      </c>
      <c r="CZ32" s="12" t="n">
        <v>1</v>
      </c>
      <c r="DB32" s="12" t="n">
        <v>1</v>
      </c>
      <c r="DD32" s="13"/>
      <c r="DE32" s="12" t="n">
        <f aca="false">COUNT(CQ32:DC32)</f>
        <v>7</v>
      </c>
      <c r="DJ32" s="12" t="n">
        <v>40</v>
      </c>
      <c r="DL32" s="12" t="n">
        <v>1</v>
      </c>
      <c r="DM32" s="12" t="n">
        <v>1</v>
      </c>
      <c r="DN32" s="12" t="n">
        <v>0</v>
      </c>
      <c r="DO32" s="12" t="n">
        <v>1</v>
      </c>
      <c r="DP32" s="12" t="n">
        <v>0</v>
      </c>
      <c r="DQ32" s="12" t="n">
        <v>0</v>
      </c>
      <c r="DR32" s="13"/>
      <c r="DS32" s="12" t="n">
        <v>1</v>
      </c>
      <c r="DT32" s="12" t="n">
        <v>1</v>
      </c>
      <c r="DV32" s="12" t="n">
        <v>1</v>
      </c>
      <c r="DX32" s="12" t="n">
        <v>1</v>
      </c>
      <c r="EA32" s="12" t="n">
        <v>1</v>
      </c>
      <c r="EB32" s="12" t="n">
        <v>1</v>
      </c>
      <c r="EF32" s="13"/>
      <c r="EG32" s="12" t="n">
        <f aca="false">COUNT(DS32:EE32)</f>
        <v>6</v>
      </c>
      <c r="FN32" s="12" t="n">
        <v>43</v>
      </c>
      <c r="FP32" s="12" t="n">
        <v>1</v>
      </c>
      <c r="FQ32" s="12" t="n">
        <v>0</v>
      </c>
      <c r="FR32" s="12" t="n">
        <v>0</v>
      </c>
      <c r="FS32" s="12" t="n">
        <v>1</v>
      </c>
      <c r="FT32" s="12" t="n">
        <v>0</v>
      </c>
      <c r="FU32" s="12" t="n">
        <v>0</v>
      </c>
      <c r="FV32" s="13"/>
      <c r="FW32" s="12" t="n">
        <v>1</v>
      </c>
      <c r="FZ32" s="12" t="n">
        <v>1</v>
      </c>
      <c r="GE32" s="12" t="n">
        <v>1</v>
      </c>
      <c r="GF32" s="12" t="n">
        <v>1</v>
      </c>
      <c r="GJ32" s="13"/>
      <c r="GK32" s="12" t="n">
        <f aca="false">COUNT(FW32:GI32)</f>
        <v>4</v>
      </c>
      <c r="GP32" s="12" t="n">
        <v>43</v>
      </c>
      <c r="GQ32" s="12"/>
      <c r="GR32" s="12" t="n">
        <v>1</v>
      </c>
      <c r="GS32" s="12" t="n">
        <v>0</v>
      </c>
      <c r="GT32" s="12" t="n">
        <v>0</v>
      </c>
      <c r="GU32" s="12" t="n">
        <v>1</v>
      </c>
      <c r="GV32" s="12" t="n">
        <v>0</v>
      </c>
      <c r="GW32" s="12" t="n">
        <v>0</v>
      </c>
      <c r="GX32" s="13"/>
      <c r="GY32" s="12" t="n">
        <v>1</v>
      </c>
      <c r="GZ32" s="12"/>
      <c r="HA32" s="12"/>
      <c r="HB32" s="12" t="n">
        <v>1</v>
      </c>
      <c r="HC32" s="12"/>
      <c r="HD32" s="12"/>
      <c r="HE32" s="12"/>
      <c r="HF32" s="12"/>
      <c r="HG32" s="12" t="n">
        <v>1</v>
      </c>
      <c r="HH32" s="12" t="n">
        <v>1</v>
      </c>
      <c r="HI32" s="12"/>
      <c r="HJ32" s="12"/>
      <c r="HK32" s="12"/>
      <c r="HL32" s="13"/>
      <c r="HM32" s="12" t="n">
        <f aca="false">COUNT(GY32:HK32)</f>
        <v>4</v>
      </c>
    </row>
    <row r="33" customFormat="false" ht="18.3" hidden="false" customHeight="true" outlineLevel="0" collapsed="false">
      <c r="B33" s="12" t="n">
        <v>29</v>
      </c>
      <c r="D33" s="12" t="n">
        <v>2</v>
      </c>
      <c r="E33" s="12" t="n">
        <v>3</v>
      </c>
      <c r="F33" s="12" t="n">
        <v>0</v>
      </c>
      <c r="G33" s="12" t="n">
        <v>0</v>
      </c>
      <c r="H33" s="12" t="n">
        <v>0</v>
      </c>
      <c r="I33" s="12" t="n">
        <v>0</v>
      </c>
      <c r="J33" s="13"/>
      <c r="K33" s="12" t="n">
        <v>1</v>
      </c>
      <c r="M33" s="12" t="n">
        <v>1</v>
      </c>
      <c r="N33" s="12" t="n">
        <v>1</v>
      </c>
      <c r="P33" s="12" t="n">
        <v>1</v>
      </c>
      <c r="S33" s="12" t="n">
        <v>1</v>
      </c>
      <c r="V33" s="12" t="n">
        <v>1</v>
      </c>
      <c r="X33" s="13"/>
      <c r="Y33" s="12" t="n">
        <f aca="false">COUNT(K33:W33)</f>
        <v>6</v>
      </c>
      <c r="AD33" s="12" t="n">
        <v>29</v>
      </c>
      <c r="AF33" s="12" t="n">
        <v>2</v>
      </c>
      <c r="AG33" s="12" t="n">
        <v>3</v>
      </c>
      <c r="AH33" s="12" t="n">
        <v>0</v>
      </c>
      <c r="AI33" s="12" t="n">
        <v>0</v>
      </c>
      <c r="AJ33" s="12" t="n">
        <v>0</v>
      </c>
      <c r="AK33" s="12" t="n">
        <v>0</v>
      </c>
      <c r="AL33" s="13"/>
      <c r="AM33" s="12" t="n">
        <v>1</v>
      </c>
      <c r="AO33" s="12" t="n">
        <v>1</v>
      </c>
      <c r="AP33" s="12" t="n">
        <v>1</v>
      </c>
      <c r="AR33" s="12" t="n">
        <v>1</v>
      </c>
      <c r="AU33" s="12" t="n">
        <v>1</v>
      </c>
      <c r="AX33" s="12" t="n">
        <v>1</v>
      </c>
      <c r="AZ33" s="13"/>
      <c r="BA33" s="12" t="n">
        <f aca="false">COUNT(AM33:AY33)</f>
        <v>6</v>
      </c>
      <c r="BF33" s="12" t="n">
        <v>29</v>
      </c>
      <c r="BH33" s="12" t="n">
        <v>2</v>
      </c>
      <c r="BI33" s="12" t="n">
        <v>3</v>
      </c>
      <c r="BJ33" s="12" t="n">
        <v>0</v>
      </c>
      <c r="BK33" s="12" t="n">
        <v>0</v>
      </c>
      <c r="BL33" s="12" t="n">
        <v>0</v>
      </c>
      <c r="BM33" s="12" t="n">
        <v>0</v>
      </c>
      <c r="BN33" s="13"/>
      <c r="BO33" s="12" t="n">
        <v>1</v>
      </c>
      <c r="BQ33" s="12" t="n">
        <v>1</v>
      </c>
      <c r="BR33" s="12" t="n">
        <v>1</v>
      </c>
      <c r="BT33" s="12" t="n">
        <v>1</v>
      </c>
      <c r="BW33" s="12" t="n">
        <v>1</v>
      </c>
      <c r="BZ33" s="12" t="n">
        <v>1</v>
      </c>
      <c r="CB33" s="13"/>
      <c r="CC33" s="12" t="n">
        <f aca="false">COUNT(BO33:CA33)</f>
        <v>6</v>
      </c>
      <c r="CH33" s="12" t="n">
        <v>36</v>
      </c>
      <c r="CJ33" s="12" t="n">
        <v>1</v>
      </c>
      <c r="CK33" s="12" t="n">
        <v>1</v>
      </c>
      <c r="CL33" s="12" t="n">
        <v>0</v>
      </c>
      <c r="CM33" s="12" t="n">
        <v>0</v>
      </c>
      <c r="CN33" s="12" t="n">
        <v>1</v>
      </c>
      <c r="CO33" s="12" t="n">
        <v>0</v>
      </c>
      <c r="CP33" s="13"/>
      <c r="CQ33" s="12" t="n">
        <v>1</v>
      </c>
      <c r="CT33" s="12" t="n">
        <v>1</v>
      </c>
      <c r="CV33" s="12" t="n">
        <v>1</v>
      </c>
      <c r="CY33" s="12" t="n">
        <v>1</v>
      </c>
      <c r="CZ33" s="12" t="n">
        <v>1</v>
      </c>
      <c r="DB33" s="12" t="n">
        <v>1</v>
      </c>
      <c r="DD33" s="13"/>
      <c r="DE33" s="12" t="n">
        <f aca="false">COUNT(CQ33:DC33)</f>
        <v>6</v>
      </c>
      <c r="DJ33" s="12" t="n">
        <v>45</v>
      </c>
      <c r="DL33" s="12" t="n">
        <v>0</v>
      </c>
      <c r="DM33" s="12" t="n">
        <v>3</v>
      </c>
      <c r="DN33" s="12" t="n">
        <v>0</v>
      </c>
      <c r="DO33" s="12" t="n">
        <v>0</v>
      </c>
      <c r="DP33" s="12" t="n">
        <v>1</v>
      </c>
      <c r="DQ33" s="12" t="n">
        <v>0</v>
      </c>
      <c r="DR33" s="13"/>
      <c r="DS33" s="12" t="n">
        <v>1</v>
      </c>
      <c r="DT33" s="12" t="n">
        <v>1</v>
      </c>
      <c r="DV33" s="12" t="n">
        <v>1</v>
      </c>
      <c r="DX33" s="12" t="n">
        <v>1</v>
      </c>
      <c r="DZ33" s="12" t="n">
        <v>1</v>
      </c>
      <c r="EB33" s="12" t="n">
        <v>1</v>
      </c>
      <c r="ED33" s="12" t="n">
        <v>1</v>
      </c>
      <c r="EF33" s="13"/>
      <c r="EG33" s="12" t="n">
        <f aca="false">COUNT(DS33:EE33)</f>
        <v>7</v>
      </c>
      <c r="FN33" s="12" t="n">
        <v>46</v>
      </c>
      <c r="FP33" s="12" t="n">
        <v>0</v>
      </c>
      <c r="FQ33" s="12" t="n">
        <v>2</v>
      </c>
      <c r="FR33" s="12" t="n">
        <v>0</v>
      </c>
      <c r="FS33" s="12" t="n">
        <v>0</v>
      </c>
      <c r="FT33" s="12" t="n">
        <v>1</v>
      </c>
      <c r="FU33" s="12" t="n">
        <v>0</v>
      </c>
      <c r="FV33" s="13"/>
      <c r="FW33" s="12" t="n">
        <v>1</v>
      </c>
      <c r="FX33" s="12" t="n">
        <v>1</v>
      </c>
      <c r="FZ33" s="12" t="n">
        <v>1</v>
      </c>
      <c r="GB33" s="12" t="n">
        <v>1</v>
      </c>
      <c r="GF33" s="12" t="n">
        <v>1</v>
      </c>
      <c r="GH33" s="12" t="n">
        <v>1</v>
      </c>
      <c r="GJ33" s="13"/>
      <c r="GK33" s="12" t="n">
        <f aca="false">COUNT(FW33:GI33)</f>
        <v>6</v>
      </c>
      <c r="GP33" s="12" t="n">
        <v>47</v>
      </c>
      <c r="GQ33" s="12"/>
      <c r="GR33" s="12" t="n">
        <v>0</v>
      </c>
      <c r="GS33" s="12" t="n">
        <v>5</v>
      </c>
      <c r="GT33" s="12" t="n">
        <v>0</v>
      </c>
      <c r="GU33" s="12" t="n">
        <v>0</v>
      </c>
      <c r="GV33" s="12" t="n">
        <v>0</v>
      </c>
      <c r="GW33" s="12" t="n">
        <v>0</v>
      </c>
      <c r="GX33" s="13"/>
      <c r="GY33" s="12" t="n">
        <v>1</v>
      </c>
      <c r="GZ33" s="12" t="n">
        <v>1</v>
      </c>
      <c r="HA33" s="12"/>
      <c r="HB33" s="12" t="n">
        <v>1</v>
      </c>
      <c r="HC33" s="12"/>
      <c r="HD33" s="12" t="n">
        <v>1</v>
      </c>
      <c r="HE33" s="12"/>
      <c r="HF33" s="12"/>
      <c r="HG33" s="12"/>
      <c r="HH33" s="12" t="n">
        <v>1</v>
      </c>
      <c r="HI33" s="12"/>
      <c r="HJ33" s="12" t="n">
        <v>1</v>
      </c>
      <c r="HK33" s="12"/>
      <c r="HL33" s="13"/>
      <c r="HM33" s="12" t="n">
        <f aca="false">COUNT(GY33:HK33)</f>
        <v>6</v>
      </c>
    </row>
    <row r="34" customFormat="false" ht="18.3" hidden="false" customHeight="true" outlineLevel="0" collapsed="false">
      <c r="B34" s="12" t="n">
        <v>30</v>
      </c>
      <c r="D34" s="12" t="n">
        <v>2</v>
      </c>
      <c r="E34" s="12" t="n">
        <v>2</v>
      </c>
      <c r="F34" s="12" t="n">
        <v>0</v>
      </c>
      <c r="G34" s="12" t="n">
        <v>0</v>
      </c>
      <c r="H34" s="12" t="n">
        <v>0</v>
      </c>
      <c r="I34" s="12" t="n">
        <v>0</v>
      </c>
      <c r="J34" s="13"/>
      <c r="K34" s="12" t="n">
        <v>1</v>
      </c>
      <c r="M34" s="12" t="n">
        <v>1</v>
      </c>
      <c r="P34" s="12" t="n">
        <v>1</v>
      </c>
      <c r="S34" s="12" t="n">
        <v>1</v>
      </c>
      <c r="V34" s="12" t="n">
        <v>1</v>
      </c>
      <c r="X34" s="13"/>
      <c r="Y34" s="12" t="n">
        <f aca="false">COUNT(K34:W34)</f>
        <v>5</v>
      </c>
      <c r="AD34" s="12" t="n">
        <v>30</v>
      </c>
      <c r="AF34" s="12" t="n">
        <v>2</v>
      </c>
      <c r="AG34" s="12" t="n">
        <v>2</v>
      </c>
      <c r="AH34" s="12" t="n">
        <v>0</v>
      </c>
      <c r="AI34" s="12" t="n">
        <v>0</v>
      </c>
      <c r="AJ34" s="12" t="n">
        <v>0</v>
      </c>
      <c r="AK34" s="12" t="n">
        <v>0</v>
      </c>
      <c r="AL34" s="13"/>
      <c r="AM34" s="12" t="n">
        <v>1</v>
      </c>
      <c r="AO34" s="12" t="n">
        <v>1</v>
      </c>
      <c r="AR34" s="12" t="n">
        <v>1</v>
      </c>
      <c r="AU34" s="12" t="n">
        <v>1</v>
      </c>
      <c r="AX34" s="12" t="n">
        <v>1</v>
      </c>
      <c r="AZ34" s="13"/>
      <c r="BA34" s="12" t="n">
        <f aca="false">COUNT(AM34:AY34)</f>
        <v>5</v>
      </c>
      <c r="BF34" s="12" t="n">
        <v>30</v>
      </c>
      <c r="BH34" s="12" t="n">
        <v>2</v>
      </c>
      <c r="BI34" s="12" t="n">
        <v>2</v>
      </c>
      <c r="BJ34" s="12" t="n">
        <v>0</v>
      </c>
      <c r="BK34" s="12" t="n">
        <v>0</v>
      </c>
      <c r="BL34" s="12" t="n">
        <v>0</v>
      </c>
      <c r="BM34" s="12" t="n">
        <v>0</v>
      </c>
      <c r="BN34" s="13"/>
      <c r="BO34" s="12" t="n">
        <v>1</v>
      </c>
      <c r="BQ34" s="12" t="n">
        <v>1</v>
      </c>
      <c r="BT34" s="12" t="n">
        <v>1</v>
      </c>
      <c r="BW34" s="12" t="n">
        <v>1</v>
      </c>
      <c r="BZ34" s="12" t="n">
        <v>1</v>
      </c>
      <c r="CB34" s="13"/>
      <c r="CC34" s="12" t="n">
        <f aca="false">COUNT(BO34:CA34)</f>
        <v>5</v>
      </c>
      <c r="CH34" s="12" t="n">
        <v>37</v>
      </c>
      <c r="CJ34" s="12" t="n">
        <v>1</v>
      </c>
      <c r="CK34" s="12" t="n">
        <v>4</v>
      </c>
      <c r="CL34" s="12" t="n">
        <v>0</v>
      </c>
      <c r="CM34" s="12" t="n">
        <v>0</v>
      </c>
      <c r="CN34" s="12" t="n">
        <v>0</v>
      </c>
      <c r="CO34" s="12" t="n">
        <v>0</v>
      </c>
      <c r="CP34" s="13"/>
      <c r="CQ34" s="12" t="n">
        <v>1</v>
      </c>
      <c r="CT34" s="12" t="n">
        <v>1</v>
      </c>
      <c r="CV34" s="12" t="n">
        <v>1</v>
      </c>
      <c r="CY34" s="12" t="n">
        <v>1</v>
      </c>
      <c r="CZ34" s="12" t="n">
        <v>1</v>
      </c>
      <c r="DB34" s="12" t="n">
        <v>1</v>
      </c>
      <c r="DD34" s="13"/>
      <c r="DE34" s="12" t="n">
        <f aca="false">COUNT(CQ34:DC34)</f>
        <v>6</v>
      </c>
      <c r="DJ34" s="12" t="n">
        <v>46</v>
      </c>
      <c r="DL34" s="12" t="n">
        <v>0</v>
      </c>
      <c r="DM34" s="12" t="n">
        <v>2</v>
      </c>
      <c r="DN34" s="12" t="n">
        <v>0</v>
      </c>
      <c r="DO34" s="12" t="n">
        <v>0</v>
      </c>
      <c r="DP34" s="12" t="n">
        <v>1</v>
      </c>
      <c r="DQ34" s="12" t="n">
        <v>0</v>
      </c>
      <c r="DR34" s="13"/>
      <c r="DS34" s="12" t="n">
        <v>1</v>
      </c>
      <c r="DT34" s="12" t="n">
        <v>1</v>
      </c>
      <c r="DV34" s="12" t="n">
        <v>1</v>
      </c>
      <c r="DX34" s="12" t="n">
        <v>1</v>
      </c>
      <c r="EB34" s="12" t="n">
        <v>1</v>
      </c>
      <c r="ED34" s="12" t="n">
        <v>1</v>
      </c>
      <c r="EF34" s="13"/>
      <c r="EG34" s="12" t="n">
        <f aca="false">COUNT(DS34:EE34)</f>
        <v>6</v>
      </c>
      <c r="FN34" s="12" t="n">
        <v>47</v>
      </c>
      <c r="FP34" s="12" t="n">
        <v>0</v>
      </c>
      <c r="FQ34" s="12" t="n">
        <v>5</v>
      </c>
      <c r="FR34" s="12" t="n">
        <v>0</v>
      </c>
      <c r="FS34" s="12" t="n">
        <v>0</v>
      </c>
      <c r="FT34" s="12" t="n">
        <v>0</v>
      </c>
      <c r="FU34" s="12" t="n">
        <v>0</v>
      </c>
      <c r="FV34" s="13"/>
      <c r="FW34" s="12" t="n">
        <v>1</v>
      </c>
      <c r="FX34" s="12" t="n">
        <v>1</v>
      </c>
      <c r="FZ34" s="12" t="n">
        <v>1</v>
      </c>
      <c r="GB34" s="12" t="n">
        <v>1</v>
      </c>
      <c r="GF34" s="12" t="n">
        <v>1</v>
      </c>
      <c r="GH34" s="12" t="n">
        <v>1</v>
      </c>
      <c r="GJ34" s="13"/>
      <c r="GK34" s="12" t="n">
        <f aca="false">COUNT(FW34:GI34)</f>
        <v>6</v>
      </c>
      <c r="GP34" s="12" t="n">
        <v>48</v>
      </c>
      <c r="GQ34" s="12"/>
      <c r="GR34" s="12" t="n">
        <v>0</v>
      </c>
      <c r="GS34" s="12" t="n">
        <v>4</v>
      </c>
      <c r="GT34" s="12" t="n">
        <v>0</v>
      </c>
      <c r="GU34" s="12" t="n">
        <v>0</v>
      </c>
      <c r="GV34" s="12" t="n">
        <v>0</v>
      </c>
      <c r="GW34" s="12" t="n">
        <v>0</v>
      </c>
      <c r="GX34" s="13"/>
      <c r="GY34" s="12" t="n">
        <v>1</v>
      </c>
      <c r="GZ34" s="12"/>
      <c r="HA34" s="12"/>
      <c r="HB34" s="12" t="n">
        <v>1</v>
      </c>
      <c r="HC34" s="12"/>
      <c r="HD34" s="12" t="n">
        <v>1</v>
      </c>
      <c r="HE34" s="12"/>
      <c r="HF34" s="12"/>
      <c r="HG34" s="12"/>
      <c r="HH34" s="12" t="n">
        <v>1</v>
      </c>
      <c r="HI34" s="12"/>
      <c r="HJ34" s="12" t="n">
        <v>1</v>
      </c>
      <c r="HK34" s="12"/>
      <c r="HL34" s="13"/>
      <c r="HM34" s="12" t="n">
        <f aca="false">COUNT(GY34:HK34)</f>
        <v>5</v>
      </c>
    </row>
    <row r="35" customFormat="false" ht="18.3" hidden="false" customHeight="true" outlineLevel="0" collapsed="false">
      <c r="B35" s="12" t="n">
        <v>31</v>
      </c>
      <c r="D35" s="12" t="n">
        <v>2</v>
      </c>
      <c r="E35" s="12" t="n">
        <v>1</v>
      </c>
      <c r="F35" s="12" t="n">
        <v>0</v>
      </c>
      <c r="G35" s="12" t="n">
        <v>0</v>
      </c>
      <c r="H35" s="12" t="n">
        <v>0</v>
      </c>
      <c r="I35" s="12" t="n">
        <v>0</v>
      </c>
      <c r="J35" s="13"/>
      <c r="K35" s="12" t="n">
        <v>1</v>
      </c>
      <c r="M35" s="12" t="n">
        <v>1</v>
      </c>
      <c r="P35" s="12" t="n">
        <v>1</v>
      </c>
      <c r="S35" s="12" t="n">
        <v>1</v>
      </c>
      <c r="X35" s="13"/>
      <c r="Y35" s="12" t="n">
        <f aca="false">COUNT(K35:W35)</f>
        <v>4</v>
      </c>
      <c r="AD35" s="12" t="n">
        <v>31</v>
      </c>
      <c r="AF35" s="12" t="n">
        <v>2</v>
      </c>
      <c r="AG35" s="12" t="n">
        <v>1</v>
      </c>
      <c r="AH35" s="12" t="n">
        <v>0</v>
      </c>
      <c r="AI35" s="12" t="n">
        <v>0</v>
      </c>
      <c r="AJ35" s="12" t="n">
        <v>0</v>
      </c>
      <c r="AK35" s="12" t="n">
        <v>0</v>
      </c>
      <c r="AL35" s="13"/>
      <c r="AM35" s="12" t="n">
        <v>1</v>
      </c>
      <c r="AO35" s="12" t="n">
        <v>1</v>
      </c>
      <c r="AR35" s="12" t="n">
        <v>1</v>
      </c>
      <c r="AU35" s="12" t="n">
        <v>1</v>
      </c>
      <c r="AZ35" s="13"/>
      <c r="BA35" s="12" t="n">
        <f aca="false">COUNT(AM35:AY35)</f>
        <v>4</v>
      </c>
      <c r="BF35" s="12" t="n">
        <v>31</v>
      </c>
      <c r="BH35" s="12" t="n">
        <v>2</v>
      </c>
      <c r="BI35" s="12" t="n">
        <v>1</v>
      </c>
      <c r="BJ35" s="12" t="n">
        <v>0</v>
      </c>
      <c r="BK35" s="12" t="n">
        <v>0</v>
      </c>
      <c r="BL35" s="12" t="n">
        <v>0</v>
      </c>
      <c r="BM35" s="12" t="n">
        <v>0</v>
      </c>
      <c r="BN35" s="13"/>
      <c r="BO35" s="12" t="n">
        <v>1</v>
      </c>
      <c r="BQ35" s="12" t="n">
        <v>1</v>
      </c>
      <c r="BT35" s="12" t="n">
        <v>1</v>
      </c>
      <c r="BW35" s="12" t="n">
        <v>1</v>
      </c>
      <c r="CB35" s="13"/>
      <c r="CC35" s="12" t="n">
        <f aca="false">COUNT(BO35:CA35)</f>
        <v>4</v>
      </c>
      <c r="CH35" s="12" t="n">
        <v>38</v>
      </c>
      <c r="CJ35" s="12" t="n">
        <v>1</v>
      </c>
      <c r="CK35" s="12" t="n">
        <v>3</v>
      </c>
      <c r="CL35" s="12" t="n">
        <v>0</v>
      </c>
      <c r="CM35" s="12" t="n">
        <v>0</v>
      </c>
      <c r="CN35" s="12" t="n">
        <v>0</v>
      </c>
      <c r="CO35" s="12" t="n">
        <v>0</v>
      </c>
      <c r="CP35" s="13"/>
      <c r="CQ35" s="12" t="n">
        <v>1</v>
      </c>
      <c r="CT35" s="12" t="n">
        <v>1</v>
      </c>
      <c r="CV35" s="12" t="n">
        <v>1</v>
      </c>
      <c r="CY35" s="12" t="n">
        <v>1</v>
      </c>
      <c r="DB35" s="12" t="n">
        <v>1</v>
      </c>
      <c r="DD35" s="13"/>
      <c r="DE35" s="12" t="n">
        <f aca="false">COUNT(CQ35:DC35)</f>
        <v>5</v>
      </c>
      <c r="DJ35" s="12" t="n">
        <v>47</v>
      </c>
      <c r="DL35" s="12" t="n">
        <v>0</v>
      </c>
      <c r="DM35" s="12" t="n">
        <v>5</v>
      </c>
      <c r="DN35" s="12" t="n">
        <v>0</v>
      </c>
      <c r="DO35" s="12" t="n">
        <v>0</v>
      </c>
      <c r="DP35" s="12" t="n">
        <v>0</v>
      </c>
      <c r="DQ35" s="12" t="n">
        <v>0</v>
      </c>
      <c r="DR35" s="13"/>
      <c r="DS35" s="12" t="n">
        <v>1</v>
      </c>
      <c r="DT35" s="12" t="n">
        <v>1</v>
      </c>
      <c r="DV35" s="12" t="n">
        <v>1</v>
      </c>
      <c r="DX35" s="12" t="n">
        <v>1</v>
      </c>
      <c r="EB35" s="12" t="n">
        <v>1</v>
      </c>
      <c r="ED35" s="12" t="n">
        <v>1</v>
      </c>
      <c r="EF35" s="13"/>
      <c r="EG35" s="12" t="n">
        <f aca="false">COUNT(DS35:EE35)</f>
        <v>6</v>
      </c>
      <c r="FN35" s="12" t="n">
        <v>48</v>
      </c>
      <c r="FP35" s="12" t="n">
        <v>0</v>
      </c>
      <c r="FQ35" s="12" t="n">
        <v>4</v>
      </c>
      <c r="FR35" s="12" t="n">
        <v>0</v>
      </c>
      <c r="FS35" s="12" t="n">
        <v>0</v>
      </c>
      <c r="FT35" s="12" t="n">
        <v>0</v>
      </c>
      <c r="FU35" s="12" t="n">
        <v>0</v>
      </c>
      <c r="FV35" s="13"/>
      <c r="FW35" s="12" t="n">
        <v>1</v>
      </c>
      <c r="FZ35" s="12" t="n">
        <v>1</v>
      </c>
      <c r="GB35" s="12" t="n">
        <v>1</v>
      </c>
      <c r="GF35" s="12" t="n">
        <v>1</v>
      </c>
      <c r="GH35" s="12" t="n">
        <v>1</v>
      </c>
      <c r="GJ35" s="13"/>
      <c r="GK35" s="12" t="n">
        <f aca="false">COUNT(FW35:GI35)</f>
        <v>5</v>
      </c>
      <c r="GP35" s="12" t="n">
        <v>49</v>
      </c>
      <c r="GQ35" s="12"/>
      <c r="GR35" s="12" t="n">
        <v>0</v>
      </c>
      <c r="GS35" s="12" t="n">
        <v>3</v>
      </c>
      <c r="GT35" s="12" t="n">
        <v>0</v>
      </c>
      <c r="GU35" s="12" t="n">
        <v>0</v>
      </c>
      <c r="GV35" s="12" t="n">
        <v>0</v>
      </c>
      <c r="GW35" s="12" t="n">
        <v>0</v>
      </c>
      <c r="GX35" s="13"/>
      <c r="GY35" s="12" t="n">
        <v>1</v>
      </c>
      <c r="GZ35" s="12"/>
      <c r="HA35" s="12"/>
      <c r="HB35" s="12" t="n">
        <v>1</v>
      </c>
      <c r="HC35" s="12"/>
      <c r="HD35" s="12" t="n">
        <v>1</v>
      </c>
      <c r="HE35" s="12"/>
      <c r="HF35" s="12"/>
      <c r="HG35" s="12"/>
      <c r="HH35" s="12"/>
      <c r="HI35" s="12"/>
      <c r="HJ35" s="12" t="n">
        <v>1</v>
      </c>
      <c r="HK35" s="12"/>
      <c r="HL35" s="13"/>
      <c r="HM35" s="12" t="n">
        <f aca="false">COUNT(GY35:HK35)</f>
        <v>4</v>
      </c>
    </row>
    <row r="36" customFormat="false" ht="18.3" hidden="false" customHeight="true" outlineLevel="0" collapsed="false">
      <c r="B36" s="12" t="n">
        <v>32</v>
      </c>
      <c r="D36" s="12" t="n">
        <v>2</v>
      </c>
      <c r="E36" s="12" t="n">
        <v>0</v>
      </c>
      <c r="F36" s="12" t="n">
        <v>0</v>
      </c>
      <c r="G36" s="12" t="n">
        <v>1</v>
      </c>
      <c r="H36" s="12" t="n">
        <v>0</v>
      </c>
      <c r="I36" s="12" t="n">
        <v>0</v>
      </c>
      <c r="J36" s="13"/>
      <c r="K36" s="12" t="n">
        <v>1</v>
      </c>
      <c r="M36" s="12" t="n">
        <v>1</v>
      </c>
      <c r="N36" s="12" t="n">
        <v>1</v>
      </c>
      <c r="S36" s="12" t="n">
        <v>1</v>
      </c>
      <c r="T36" s="12" t="n">
        <v>1</v>
      </c>
      <c r="V36" s="12" t="n">
        <v>1</v>
      </c>
      <c r="X36" s="13"/>
      <c r="Y36" s="12" t="n">
        <f aca="false">COUNT(K36:W36)</f>
        <v>6</v>
      </c>
      <c r="AD36" s="12" t="n">
        <v>32</v>
      </c>
      <c r="AF36" s="12" t="n">
        <v>2</v>
      </c>
      <c r="AG36" s="12" t="n">
        <v>0</v>
      </c>
      <c r="AH36" s="12" t="n">
        <v>0</v>
      </c>
      <c r="AI36" s="12" t="n">
        <v>1</v>
      </c>
      <c r="AJ36" s="12" t="n">
        <v>0</v>
      </c>
      <c r="AK36" s="12" t="n">
        <v>0</v>
      </c>
      <c r="AL36" s="13"/>
      <c r="AM36" s="12" t="n">
        <v>1</v>
      </c>
      <c r="AO36" s="12" t="n">
        <v>1</v>
      </c>
      <c r="AP36" s="12" t="n">
        <v>1</v>
      </c>
      <c r="AU36" s="12" t="n">
        <v>1</v>
      </c>
      <c r="AV36" s="12" t="n">
        <v>1</v>
      </c>
      <c r="AX36" s="12" t="n">
        <v>1</v>
      </c>
      <c r="AZ36" s="13"/>
      <c r="BA36" s="12" t="n">
        <f aca="false">COUNT(AM36:AY36)</f>
        <v>6</v>
      </c>
      <c r="BF36" s="12" t="n">
        <v>32</v>
      </c>
      <c r="BH36" s="12" t="n">
        <v>2</v>
      </c>
      <c r="BI36" s="12" t="n">
        <v>0</v>
      </c>
      <c r="BJ36" s="12" t="n">
        <v>0</v>
      </c>
      <c r="BK36" s="12" t="n">
        <v>1</v>
      </c>
      <c r="BL36" s="12" t="n">
        <v>0</v>
      </c>
      <c r="BM36" s="12" t="n">
        <v>0</v>
      </c>
      <c r="BN36" s="13"/>
      <c r="BO36" s="12" t="n">
        <v>1</v>
      </c>
      <c r="BQ36" s="12" t="n">
        <v>1</v>
      </c>
      <c r="BR36" s="12" t="n">
        <v>1</v>
      </c>
      <c r="BW36" s="12" t="n">
        <v>1</v>
      </c>
      <c r="BX36" s="12" t="n">
        <v>1</v>
      </c>
      <c r="BZ36" s="12" t="n">
        <v>1</v>
      </c>
      <c r="CB36" s="13"/>
      <c r="CC36" s="12" t="n">
        <f aca="false">COUNT(BO36:CA36)</f>
        <v>6</v>
      </c>
      <c r="CH36" s="12" t="n">
        <v>40</v>
      </c>
      <c r="CJ36" s="12" t="n">
        <v>1</v>
      </c>
      <c r="CK36" s="12" t="n">
        <v>1</v>
      </c>
      <c r="CL36" s="12" t="n">
        <v>0</v>
      </c>
      <c r="CM36" s="12" t="n">
        <v>1</v>
      </c>
      <c r="CN36" s="12" t="n">
        <v>0</v>
      </c>
      <c r="CO36" s="12" t="n">
        <v>0</v>
      </c>
      <c r="CP36" s="13"/>
      <c r="CQ36" s="12" t="n">
        <v>1</v>
      </c>
      <c r="CR36" s="12" t="n">
        <v>1</v>
      </c>
      <c r="CT36" s="12" t="n">
        <v>1</v>
      </c>
      <c r="CV36" s="12" t="n">
        <v>1</v>
      </c>
      <c r="CY36" s="12" t="n">
        <v>1</v>
      </c>
      <c r="CZ36" s="12" t="n">
        <v>1</v>
      </c>
      <c r="DD36" s="13"/>
      <c r="DE36" s="12" t="n">
        <f aca="false">COUNT(CQ36:DC36)</f>
        <v>6</v>
      </c>
      <c r="DJ36" s="12" t="n">
        <v>50</v>
      </c>
      <c r="DL36" s="12" t="n">
        <v>0</v>
      </c>
      <c r="DM36" s="12" t="n">
        <v>2</v>
      </c>
      <c r="DN36" s="12" t="n">
        <v>0</v>
      </c>
      <c r="DO36" s="12" t="n">
        <v>1</v>
      </c>
      <c r="DP36" s="12" t="n">
        <v>0</v>
      </c>
      <c r="DQ36" s="12" t="n">
        <v>0</v>
      </c>
      <c r="DR36" s="13"/>
      <c r="DS36" s="12" t="n">
        <v>1</v>
      </c>
      <c r="DT36" s="12" t="n">
        <v>1</v>
      </c>
      <c r="DX36" s="12" t="n">
        <v>1</v>
      </c>
      <c r="DZ36" s="12" t="n">
        <v>1</v>
      </c>
      <c r="EB36" s="12" t="n">
        <v>1</v>
      </c>
      <c r="ED36" s="12" t="n">
        <v>1</v>
      </c>
      <c r="EF36" s="13"/>
      <c r="EG36" s="12" t="n">
        <f aca="false">COUNT(DS36:EE36)</f>
        <v>6</v>
      </c>
      <c r="FN36" s="12" t="n">
        <v>49</v>
      </c>
      <c r="FP36" s="12" t="n">
        <v>0</v>
      </c>
      <c r="FQ36" s="12" t="n">
        <v>3</v>
      </c>
      <c r="FR36" s="12" t="n">
        <v>0</v>
      </c>
      <c r="FS36" s="12" t="n">
        <v>0</v>
      </c>
      <c r="FT36" s="12" t="n">
        <v>0</v>
      </c>
      <c r="FU36" s="12" t="n">
        <v>0</v>
      </c>
      <c r="FV36" s="13"/>
      <c r="FW36" s="12" t="n">
        <v>1</v>
      </c>
      <c r="FZ36" s="12" t="n">
        <v>1</v>
      </c>
      <c r="GB36" s="12" t="n">
        <v>1</v>
      </c>
      <c r="GH36" s="12" t="n">
        <v>1</v>
      </c>
      <c r="GJ36" s="13"/>
      <c r="GK36" s="12" t="n">
        <f aca="false">COUNT(FW36:GI36)</f>
        <v>4</v>
      </c>
      <c r="GP36" s="12" t="n">
        <v>50</v>
      </c>
      <c r="GQ36" s="12"/>
      <c r="GR36" s="12" t="n">
        <v>0</v>
      </c>
      <c r="GS36" s="12" t="n">
        <v>2</v>
      </c>
      <c r="GT36" s="12" t="n">
        <v>0</v>
      </c>
      <c r="GU36" s="12" t="n">
        <v>1</v>
      </c>
      <c r="GV36" s="12" t="n">
        <v>0</v>
      </c>
      <c r="GW36" s="12" t="n">
        <v>0</v>
      </c>
      <c r="GX36" s="13"/>
      <c r="GY36" s="12" t="n">
        <v>1</v>
      </c>
      <c r="GZ36" s="12" t="n">
        <v>1</v>
      </c>
      <c r="HA36" s="12"/>
      <c r="HB36" s="12"/>
      <c r="HC36" s="12"/>
      <c r="HD36" s="12" t="n">
        <v>1</v>
      </c>
      <c r="HE36" s="12"/>
      <c r="HF36" s="12" t="n">
        <v>1</v>
      </c>
      <c r="HG36" s="12"/>
      <c r="HH36" s="12" t="n">
        <v>1</v>
      </c>
      <c r="HI36" s="12"/>
      <c r="HJ36" s="12" t="n">
        <v>1</v>
      </c>
      <c r="HK36" s="12"/>
      <c r="HL36" s="13"/>
      <c r="HM36" s="12" t="n">
        <f aca="false">COUNT(GY36:HK36)</f>
        <v>6</v>
      </c>
    </row>
    <row r="37" customFormat="false" ht="18.3" hidden="false" customHeight="true" outlineLevel="0" collapsed="false">
      <c r="B37" s="12" t="n">
        <v>33</v>
      </c>
      <c r="D37" s="12" t="n">
        <v>2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3"/>
      <c r="K37" s="12" t="n">
        <v>1</v>
      </c>
      <c r="M37" s="12" t="n">
        <v>1</v>
      </c>
      <c r="S37" s="12" t="n">
        <v>1</v>
      </c>
      <c r="X37" s="13"/>
      <c r="Y37" s="12" t="n">
        <f aca="false">COUNT(K37:W37)</f>
        <v>3</v>
      </c>
      <c r="AD37" s="12" t="n">
        <v>33</v>
      </c>
      <c r="AF37" s="12" t="n">
        <v>2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3"/>
      <c r="AM37" s="12" t="n">
        <v>1</v>
      </c>
      <c r="AO37" s="12" t="n">
        <v>1</v>
      </c>
      <c r="AU37" s="12" t="n">
        <v>1</v>
      </c>
      <c r="AZ37" s="13"/>
      <c r="BA37" s="12" t="n">
        <f aca="false">COUNT(AM37:AY37)</f>
        <v>3</v>
      </c>
      <c r="BF37" s="12" t="n">
        <v>34</v>
      </c>
      <c r="BH37" s="12" t="n">
        <v>1</v>
      </c>
      <c r="BI37" s="12" t="n">
        <v>2</v>
      </c>
      <c r="BJ37" s="12" t="n">
        <v>0</v>
      </c>
      <c r="BK37" s="12" t="n">
        <v>0</v>
      </c>
      <c r="BL37" s="12" t="n">
        <v>1</v>
      </c>
      <c r="BM37" s="12" t="n">
        <v>0</v>
      </c>
      <c r="BN37" s="13"/>
      <c r="BO37" s="12" t="n">
        <v>1</v>
      </c>
      <c r="BP37" s="12" t="n">
        <v>1</v>
      </c>
      <c r="BR37" s="12" t="n">
        <v>1</v>
      </c>
      <c r="BT37" s="12" t="n">
        <v>1</v>
      </c>
      <c r="BW37" s="12" t="n">
        <v>1</v>
      </c>
      <c r="BX37" s="12" t="n">
        <v>1</v>
      </c>
      <c r="BZ37" s="12" t="n">
        <v>1</v>
      </c>
      <c r="CB37" s="13"/>
      <c r="CC37" s="12" t="n">
        <f aca="false">COUNT(BO37:CA37)</f>
        <v>7</v>
      </c>
      <c r="CH37" s="12" t="n">
        <v>45</v>
      </c>
      <c r="CJ37" s="12" t="n">
        <v>0</v>
      </c>
      <c r="CK37" s="12" t="n">
        <v>3</v>
      </c>
      <c r="CL37" s="12" t="n">
        <v>0</v>
      </c>
      <c r="CM37" s="12" t="n">
        <v>0</v>
      </c>
      <c r="CN37" s="12" t="n">
        <v>1</v>
      </c>
      <c r="CO37" s="12" t="n">
        <v>0</v>
      </c>
      <c r="CP37" s="13"/>
      <c r="CQ37" s="12" t="n">
        <v>1</v>
      </c>
      <c r="CR37" s="12" t="n">
        <v>1</v>
      </c>
      <c r="CT37" s="12" t="n">
        <v>1</v>
      </c>
      <c r="CV37" s="12" t="n">
        <v>1</v>
      </c>
      <c r="CX37" s="12" t="n">
        <v>1</v>
      </c>
      <c r="CZ37" s="12" t="n">
        <v>1</v>
      </c>
      <c r="DB37" s="12" t="n">
        <v>1</v>
      </c>
      <c r="DD37" s="13"/>
      <c r="DE37" s="12" t="n">
        <f aca="false">COUNT(CQ37:DC37)</f>
        <v>7</v>
      </c>
      <c r="FN37" s="12" t="n">
        <v>50</v>
      </c>
      <c r="FP37" s="12" t="n">
        <v>0</v>
      </c>
      <c r="FQ37" s="12" t="n">
        <v>2</v>
      </c>
      <c r="FR37" s="12" t="n">
        <v>0</v>
      </c>
      <c r="FS37" s="12" t="n">
        <v>1</v>
      </c>
      <c r="FT37" s="12" t="n">
        <v>0</v>
      </c>
      <c r="FU37" s="12" t="n">
        <v>0</v>
      </c>
      <c r="FV37" s="13"/>
      <c r="FW37" s="12" t="n">
        <v>1</v>
      </c>
      <c r="FX37" s="12" t="n">
        <v>1</v>
      </c>
      <c r="GB37" s="12" t="n">
        <v>1</v>
      </c>
      <c r="GD37" s="12" t="n">
        <v>1</v>
      </c>
      <c r="GF37" s="12" t="n">
        <v>1</v>
      </c>
      <c r="GH37" s="12" t="n">
        <v>1</v>
      </c>
      <c r="GJ37" s="13"/>
      <c r="GK37" s="12" t="n">
        <f aca="false">COUNT(FW37:GI37)</f>
        <v>6</v>
      </c>
      <c r="GP37" s="12" t="n">
        <v>51</v>
      </c>
      <c r="GQ37" s="12"/>
      <c r="GR37" s="12" t="n">
        <v>0</v>
      </c>
      <c r="GS37" s="12" t="n">
        <v>2</v>
      </c>
      <c r="GT37" s="12" t="n">
        <v>0</v>
      </c>
      <c r="GU37" s="12" t="n">
        <v>0</v>
      </c>
      <c r="GV37" s="12" t="n">
        <v>0</v>
      </c>
      <c r="GW37" s="12" t="n">
        <v>0</v>
      </c>
      <c r="GX37" s="13"/>
      <c r="GY37" s="12" t="n">
        <v>1</v>
      </c>
      <c r="GZ37" s="12"/>
      <c r="HA37" s="12"/>
      <c r="HB37" s="12"/>
      <c r="HC37" s="12"/>
      <c r="HD37" s="12" t="n">
        <v>1</v>
      </c>
      <c r="HE37" s="12"/>
      <c r="HF37" s="12"/>
      <c r="HG37" s="12"/>
      <c r="HH37" s="12"/>
      <c r="HI37" s="12"/>
      <c r="HJ37" s="12" t="n">
        <v>1</v>
      </c>
      <c r="HK37" s="12"/>
      <c r="HL37" s="13"/>
      <c r="HM37" s="12" t="n">
        <f aca="false">COUNT(GY37:HK37)</f>
        <v>3</v>
      </c>
    </row>
    <row r="38" customFormat="false" ht="18.3" hidden="false" customHeight="true" outlineLevel="0" collapsed="false">
      <c r="B38" s="12" t="n">
        <v>34</v>
      </c>
      <c r="D38" s="12" t="n">
        <v>1</v>
      </c>
      <c r="E38" s="12" t="n">
        <v>2</v>
      </c>
      <c r="F38" s="12" t="n">
        <v>0</v>
      </c>
      <c r="G38" s="12" t="n">
        <v>0</v>
      </c>
      <c r="H38" s="12" t="n">
        <v>1</v>
      </c>
      <c r="I38" s="12" t="n">
        <v>0</v>
      </c>
      <c r="J38" s="13"/>
      <c r="K38" s="12" t="n">
        <v>1</v>
      </c>
      <c r="L38" s="12" t="n">
        <v>1</v>
      </c>
      <c r="N38" s="12" t="n">
        <v>1</v>
      </c>
      <c r="P38" s="12" t="n">
        <v>1</v>
      </c>
      <c r="S38" s="12" t="n">
        <v>1</v>
      </c>
      <c r="T38" s="12" t="n">
        <v>1</v>
      </c>
      <c r="V38" s="12" t="n">
        <v>1</v>
      </c>
      <c r="X38" s="13"/>
      <c r="Y38" s="12" t="n">
        <f aca="false">COUNT(K38:W38)</f>
        <v>7</v>
      </c>
      <c r="AD38" s="12" t="n">
        <v>34</v>
      </c>
      <c r="AF38" s="12" t="n">
        <v>1</v>
      </c>
      <c r="AG38" s="12" t="n">
        <v>2</v>
      </c>
      <c r="AH38" s="12" t="n">
        <v>0</v>
      </c>
      <c r="AI38" s="12" t="n">
        <v>0</v>
      </c>
      <c r="AJ38" s="12" t="n">
        <v>1</v>
      </c>
      <c r="AK38" s="12" t="n">
        <v>0</v>
      </c>
      <c r="AL38" s="13"/>
      <c r="AM38" s="12" t="n">
        <v>1</v>
      </c>
      <c r="AN38" s="12" t="n">
        <v>1</v>
      </c>
      <c r="AP38" s="12" t="n">
        <v>1</v>
      </c>
      <c r="AR38" s="12" t="n">
        <v>1</v>
      </c>
      <c r="AU38" s="12" t="n">
        <v>1</v>
      </c>
      <c r="AV38" s="12" t="n">
        <v>1</v>
      </c>
      <c r="AX38" s="12" t="n">
        <v>1</v>
      </c>
      <c r="AZ38" s="13"/>
      <c r="BA38" s="12" t="n">
        <f aca="false">COUNT(AM38:AY38)</f>
        <v>7</v>
      </c>
      <c r="BF38" s="12" t="n">
        <v>35</v>
      </c>
      <c r="BH38" s="12" t="n">
        <v>1</v>
      </c>
      <c r="BI38" s="12" t="n">
        <v>5</v>
      </c>
      <c r="BJ38" s="12" t="n">
        <v>0</v>
      </c>
      <c r="BK38" s="12" t="n">
        <v>0</v>
      </c>
      <c r="BL38" s="12" t="n">
        <v>0</v>
      </c>
      <c r="BM38" s="12" t="n">
        <v>0</v>
      </c>
      <c r="BN38" s="13"/>
      <c r="BO38" s="12" t="n">
        <v>1</v>
      </c>
      <c r="BP38" s="12" t="n">
        <v>1</v>
      </c>
      <c r="BR38" s="12" t="n">
        <v>1</v>
      </c>
      <c r="BT38" s="12" t="n">
        <v>1</v>
      </c>
      <c r="BW38" s="12" t="n">
        <v>1</v>
      </c>
      <c r="BX38" s="12" t="n">
        <v>1</v>
      </c>
      <c r="BZ38" s="12" t="n">
        <v>1</v>
      </c>
      <c r="CB38" s="13"/>
      <c r="CC38" s="12" t="n">
        <f aca="false">COUNT(BO38:CA38)</f>
        <v>7</v>
      </c>
      <c r="CH38" s="12" t="n">
        <v>46</v>
      </c>
      <c r="CJ38" s="12" t="n">
        <v>0</v>
      </c>
      <c r="CK38" s="12" t="n">
        <v>2</v>
      </c>
      <c r="CL38" s="12" t="n">
        <v>0</v>
      </c>
      <c r="CM38" s="12" t="n">
        <v>0</v>
      </c>
      <c r="CN38" s="12" t="n">
        <v>1</v>
      </c>
      <c r="CO38" s="12" t="n">
        <v>0</v>
      </c>
      <c r="CP38" s="13"/>
      <c r="CQ38" s="12" t="n">
        <v>1</v>
      </c>
      <c r="CR38" s="12" t="n">
        <v>1</v>
      </c>
      <c r="CT38" s="12" t="n">
        <v>1</v>
      </c>
      <c r="CV38" s="12" t="n">
        <v>1</v>
      </c>
      <c r="CZ38" s="12" t="n">
        <v>1</v>
      </c>
      <c r="DB38" s="12" t="n">
        <v>1</v>
      </c>
      <c r="DD38" s="13"/>
      <c r="DE38" s="12" t="n">
        <f aca="false">COUNT(CQ38:DC38)</f>
        <v>6</v>
      </c>
      <c r="FN38" s="12" t="n">
        <v>52</v>
      </c>
      <c r="FP38" s="12" t="n">
        <v>0</v>
      </c>
      <c r="FQ38" s="12" t="n">
        <v>1</v>
      </c>
      <c r="FR38" s="12" t="n">
        <v>0</v>
      </c>
      <c r="FS38" s="12" t="n">
        <v>0</v>
      </c>
      <c r="FT38" s="12" t="n">
        <v>1</v>
      </c>
      <c r="FU38" s="12" t="n">
        <v>0</v>
      </c>
      <c r="FV38" s="13"/>
      <c r="FW38" s="12" t="n">
        <v>1</v>
      </c>
      <c r="FZ38" s="12" t="n">
        <v>1</v>
      </c>
      <c r="GB38" s="12" t="n">
        <v>1</v>
      </c>
      <c r="GF38" s="12" t="n">
        <v>1</v>
      </c>
      <c r="GJ38" s="13"/>
      <c r="GK38" s="12" t="n">
        <f aca="false">COUNT(FW38:GI38)</f>
        <v>4</v>
      </c>
      <c r="GP38" s="12" t="n">
        <v>53</v>
      </c>
      <c r="GQ38" s="12"/>
      <c r="GR38" s="12" t="n">
        <v>0</v>
      </c>
      <c r="GS38" s="12" t="n">
        <v>1</v>
      </c>
      <c r="GT38" s="12" t="n">
        <v>0</v>
      </c>
      <c r="GU38" s="12" t="n">
        <v>1</v>
      </c>
      <c r="GV38" s="12" t="n">
        <v>0</v>
      </c>
      <c r="GW38" s="12" t="n">
        <v>0</v>
      </c>
      <c r="GX38" s="13"/>
      <c r="GY38" s="12" t="n">
        <v>1</v>
      </c>
      <c r="GZ38" s="12" t="n">
        <v>1</v>
      </c>
      <c r="HA38" s="12"/>
      <c r="HB38" s="12"/>
      <c r="HC38" s="12"/>
      <c r="HD38" s="12" t="n">
        <v>1</v>
      </c>
      <c r="HE38" s="12"/>
      <c r="HF38" s="12"/>
      <c r="HG38" s="12"/>
      <c r="HH38" s="12" t="n">
        <v>1</v>
      </c>
      <c r="HI38" s="12"/>
      <c r="HJ38" s="12"/>
      <c r="HK38" s="12"/>
      <c r="HL38" s="13"/>
      <c r="HM38" s="12" t="n">
        <f aca="false">COUNT(GY38:HK38)</f>
        <v>4</v>
      </c>
    </row>
    <row r="39" customFormat="false" ht="18.3" hidden="false" customHeight="true" outlineLevel="0" collapsed="false">
      <c r="B39" s="12" t="n">
        <v>35</v>
      </c>
      <c r="D39" s="12" t="n">
        <v>1</v>
      </c>
      <c r="E39" s="12" t="n">
        <v>5</v>
      </c>
      <c r="F39" s="12" t="n">
        <v>0</v>
      </c>
      <c r="G39" s="12" t="n">
        <v>0</v>
      </c>
      <c r="H39" s="12" t="n">
        <v>0</v>
      </c>
      <c r="I39" s="12" t="n">
        <v>0</v>
      </c>
      <c r="J39" s="13"/>
      <c r="K39" s="12" t="n">
        <v>1</v>
      </c>
      <c r="L39" s="12" t="n">
        <v>1</v>
      </c>
      <c r="N39" s="12" t="n">
        <v>1</v>
      </c>
      <c r="P39" s="12" t="n">
        <v>1</v>
      </c>
      <c r="S39" s="12" t="n">
        <v>1</v>
      </c>
      <c r="T39" s="12" t="n">
        <v>1</v>
      </c>
      <c r="V39" s="12" t="n">
        <v>1</v>
      </c>
      <c r="X39" s="13"/>
      <c r="Y39" s="12" t="n">
        <f aca="false">COUNT(K39:W39)</f>
        <v>7</v>
      </c>
      <c r="AD39" s="12" t="n">
        <v>35</v>
      </c>
      <c r="AF39" s="12" t="n">
        <v>1</v>
      </c>
      <c r="AG39" s="12" t="n">
        <v>5</v>
      </c>
      <c r="AH39" s="12" t="n">
        <v>0</v>
      </c>
      <c r="AI39" s="12" t="n">
        <v>0</v>
      </c>
      <c r="AJ39" s="12" t="n">
        <v>0</v>
      </c>
      <c r="AK39" s="12" t="n">
        <v>0</v>
      </c>
      <c r="AL39" s="13"/>
      <c r="AM39" s="12" t="n">
        <v>1</v>
      </c>
      <c r="AN39" s="12" t="n">
        <v>1</v>
      </c>
      <c r="AP39" s="12" t="n">
        <v>1</v>
      </c>
      <c r="AR39" s="12" t="n">
        <v>1</v>
      </c>
      <c r="AU39" s="12" t="n">
        <v>1</v>
      </c>
      <c r="AV39" s="12" t="n">
        <v>1</v>
      </c>
      <c r="AX39" s="12" t="n">
        <v>1</v>
      </c>
      <c r="AZ39" s="13"/>
      <c r="BA39" s="12" t="n">
        <f aca="false">COUNT(AM39:AY39)</f>
        <v>7</v>
      </c>
      <c r="BF39" s="12" t="n">
        <v>36</v>
      </c>
      <c r="BH39" s="12" t="n">
        <v>1</v>
      </c>
      <c r="BI39" s="12" t="n">
        <v>1</v>
      </c>
      <c r="BJ39" s="12" t="n">
        <v>0</v>
      </c>
      <c r="BK39" s="12" t="n">
        <v>0</v>
      </c>
      <c r="BL39" s="12" t="n">
        <v>1</v>
      </c>
      <c r="BM39" s="12" t="n">
        <v>0</v>
      </c>
      <c r="BN39" s="13"/>
      <c r="BO39" s="12" t="n">
        <v>1</v>
      </c>
      <c r="BR39" s="12" t="n">
        <v>1</v>
      </c>
      <c r="BT39" s="12" t="n">
        <v>1</v>
      </c>
      <c r="BW39" s="12" t="n">
        <v>1</v>
      </c>
      <c r="BX39" s="12" t="n">
        <v>1</v>
      </c>
      <c r="BZ39" s="12" t="n">
        <v>1</v>
      </c>
      <c r="CB39" s="13"/>
      <c r="CC39" s="12" t="n">
        <f aca="false">COUNT(BO39:CA39)</f>
        <v>6</v>
      </c>
      <c r="CH39" s="12" t="n">
        <v>47</v>
      </c>
      <c r="CJ39" s="12" t="n">
        <v>0</v>
      </c>
      <c r="CK39" s="12" t="n">
        <v>5</v>
      </c>
      <c r="CL39" s="12" t="n">
        <v>0</v>
      </c>
      <c r="CM39" s="12" t="n">
        <v>0</v>
      </c>
      <c r="CN39" s="12" t="n">
        <v>0</v>
      </c>
      <c r="CO39" s="12" t="n">
        <v>0</v>
      </c>
      <c r="CP39" s="13"/>
      <c r="CQ39" s="12" t="n">
        <v>1</v>
      </c>
      <c r="CR39" s="12" t="n">
        <v>1</v>
      </c>
      <c r="CT39" s="12" t="n">
        <v>1</v>
      </c>
      <c r="CV39" s="12" t="n">
        <v>1</v>
      </c>
      <c r="CZ39" s="12" t="n">
        <v>1</v>
      </c>
      <c r="DB39" s="12" t="n">
        <v>1</v>
      </c>
      <c r="DD39" s="13"/>
      <c r="DE39" s="12" t="n">
        <f aca="false">COUNT(CQ39:DC39)</f>
        <v>6</v>
      </c>
      <c r="FN39" s="12" t="n">
        <v>53</v>
      </c>
      <c r="FP39" s="12" t="n">
        <v>0</v>
      </c>
      <c r="FQ39" s="12" t="n">
        <v>1</v>
      </c>
      <c r="FR39" s="12" t="n">
        <v>0</v>
      </c>
      <c r="FS39" s="12" t="n">
        <v>1</v>
      </c>
      <c r="FT39" s="12" t="n">
        <v>0</v>
      </c>
      <c r="FU39" s="12" t="n">
        <v>0</v>
      </c>
      <c r="FV39" s="13"/>
      <c r="FW39" s="12" t="n">
        <v>1</v>
      </c>
      <c r="FX39" s="12" t="n">
        <v>1</v>
      </c>
      <c r="GB39" s="12" t="n">
        <v>1</v>
      </c>
      <c r="GF39" s="12" t="n">
        <v>1</v>
      </c>
      <c r="GJ39" s="13"/>
      <c r="GK39" s="12" t="n">
        <f aca="false">COUNT(FW39:GI39)</f>
        <v>4</v>
      </c>
    </row>
    <row r="40" customFormat="false" ht="18.3" hidden="false" customHeight="true" outlineLevel="0" collapsed="false">
      <c r="B40" s="12" t="n">
        <v>36</v>
      </c>
      <c r="D40" s="12" t="n">
        <v>1</v>
      </c>
      <c r="E40" s="12" t="n">
        <v>1</v>
      </c>
      <c r="F40" s="12" t="n">
        <v>0</v>
      </c>
      <c r="G40" s="12" t="n">
        <v>0</v>
      </c>
      <c r="H40" s="12" t="n">
        <v>1</v>
      </c>
      <c r="I40" s="12" t="n">
        <v>0</v>
      </c>
      <c r="J40" s="13"/>
      <c r="K40" s="12" t="n">
        <v>1</v>
      </c>
      <c r="N40" s="12" t="n">
        <v>1</v>
      </c>
      <c r="P40" s="12" t="n">
        <v>1</v>
      </c>
      <c r="S40" s="12" t="n">
        <v>1</v>
      </c>
      <c r="T40" s="12" t="n">
        <v>1</v>
      </c>
      <c r="V40" s="12" t="n">
        <v>1</v>
      </c>
      <c r="X40" s="13"/>
      <c r="Y40" s="12" t="n">
        <f aca="false">COUNT(K40:W40)</f>
        <v>6</v>
      </c>
      <c r="AD40" s="12" t="n">
        <v>36</v>
      </c>
      <c r="AF40" s="12" t="n">
        <v>1</v>
      </c>
      <c r="AG40" s="12" t="n">
        <v>1</v>
      </c>
      <c r="AH40" s="12" t="n">
        <v>0</v>
      </c>
      <c r="AI40" s="12" t="n">
        <v>0</v>
      </c>
      <c r="AJ40" s="12" t="n">
        <v>1</v>
      </c>
      <c r="AK40" s="12" t="n">
        <v>0</v>
      </c>
      <c r="AL40" s="13"/>
      <c r="AM40" s="12" t="n">
        <v>1</v>
      </c>
      <c r="AP40" s="12" t="n">
        <v>1</v>
      </c>
      <c r="AR40" s="12" t="n">
        <v>1</v>
      </c>
      <c r="AU40" s="12" t="n">
        <v>1</v>
      </c>
      <c r="AV40" s="12" t="n">
        <v>1</v>
      </c>
      <c r="AX40" s="12" t="n">
        <v>1</v>
      </c>
      <c r="AZ40" s="13"/>
      <c r="BA40" s="12" t="n">
        <f aca="false">COUNT(AM40:AY40)</f>
        <v>6</v>
      </c>
      <c r="BF40" s="12" t="n">
        <v>37</v>
      </c>
      <c r="BH40" s="12" t="n">
        <v>1</v>
      </c>
      <c r="BI40" s="12" t="n">
        <v>4</v>
      </c>
      <c r="BJ40" s="12" t="n">
        <v>0</v>
      </c>
      <c r="BK40" s="12" t="n">
        <v>0</v>
      </c>
      <c r="BL40" s="12" t="n">
        <v>0</v>
      </c>
      <c r="BM40" s="12" t="n">
        <v>0</v>
      </c>
      <c r="BN40" s="13"/>
      <c r="BO40" s="12" t="n">
        <v>1</v>
      </c>
      <c r="BR40" s="12" t="n">
        <v>1</v>
      </c>
      <c r="BT40" s="12" t="n">
        <v>1</v>
      </c>
      <c r="BW40" s="12" t="n">
        <v>1</v>
      </c>
      <c r="BX40" s="12" t="n">
        <v>1</v>
      </c>
      <c r="BZ40" s="12" t="n">
        <v>1</v>
      </c>
      <c r="CB40" s="13"/>
      <c r="CC40" s="12" t="n">
        <f aca="false">COUNT(BO40:CA40)</f>
        <v>6</v>
      </c>
      <c r="CH40" s="12" t="n">
        <v>48</v>
      </c>
      <c r="CJ40" s="12" t="n">
        <v>0</v>
      </c>
      <c r="CK40" s="12" t="n">
        <v>4</v>
      </c>
      <c r="CL40" s="12" t="n">
        <v>0</v>
      </c>
      <c r="CM40" s="12" t="n">
        <v>0</v>
      </c>
      <c r="CN40" s="12" t="n">
        <v>0</v>
      </c>
      <c r="CO40" s="12" t="n">
        <v>0</v>
      </c>
      <c r="CP40" s="13"/>
      <c r="CQ40" s="12" t="n">
        <v>1</v>
      </c>
      <c r="CT40" s="12" t="n">
        <v>1</v>
      </c>
      <c r="CV40" s="12" t="n">
        <v>1</v>
      </c>
      <c r="CZ40" s="12" t="n">
        <v>1</v>
      </c>
      <c r="DB40" s="12" t="n">
        <v>1</v>
      </c>
      <c r="DD40" s="13"/>
      <c r="DE40" s="12" t="n">
        <f aca="false">COUNT(CQ40:DC40)</f>
        <v>5</v>
      </c>
    </row>
    <row r="41" customFormat="false" ht="18.3" hidden="false" customHeight="true" outlineLevel="0" collapsed="false">
      <c r="B41" s="12" t="n">
        <v>37</v>
      </c>
      <c r="D41" s="12" t="n">
        <v>1</v>
      </c>
      <c r="E41" s="12" t="n">
        <v>4</v>
      </c>
      <c r="F41" s="12" t="n">
        <v>0</v>
      </c>
      <c r="G41" s="12" t="n">
        <v>0</v>
      </c>
      <c r="H41" s="12" t="n">
        <v>0</v>
      </c>
      <c r="I41" s="12" t="n">
        <v>0</v>
      </c>
      <c r="J41" s="13"/>
      <c r="K41" s="12" t="n">
        <v>1</v>
      </c>
      <c r="N41" s="12" t="n">
        <v>1</v>
      </c>
      <c r="P41" s="12" t="n">
        <v>1</v>
      </c>
      <c r="S41" s="12" t="n">
        <v>1</v>
      </c>
      <c r="T41" s="12" t="n">
        <v>1</v>
      </c>
      <c r="V41" s="12" t="n">
        <v>1</v>
      </c>
      <c r="X41" s="13"/>
      <c r="Y41" s="12" t="n">
        <f aca="false">COUNT(K41:W41)</f>
        <v>6</v>
      </c>
      <c r="AD41" s="12" t="n">
        <v>37</v>
      </c>
      <c r="AF41" s="12" t="n">
        <v>1</v>
      </c>
      <c r="AG41" s="12" t="n">
        <v>4</v>
      </c>
      <c r="AH41" s="12" t="n">
        <v>0</v>
      </c>
      <c r="AI41" s="12" t="n">
        <v>0</v>
      </c>
      <c r="AJ41" s="12" t="n">
        <v>0</v>
      </c>
      <c r="AK41" s="12" t="n">
        <v>0</v>
      </c>
      <c r="AL41" s="13"/>
      <c r="AM41" s="12" t="n">
        <v>1</v>
      </c>
      <c r="AP41" s="12" t="n">
        <v>1</v>
      </c>
      <c r="AR41" s="12" t="n">
        <v>1</v>
      </c>
      <c r="AU41" s="12" t="n">
        <v>1</v>
      </c>
      <c r="AV41" s="12" t="n">
        <v>1</v>
      </c>
      <c r="AX41" s="12" t="n">
        <v>1</v>
      </c>
      <c r="AZ41" s="13"/>
      <c r="BA41" s="12" t="n">
        <f aca="false">COUNT(AM41:AY41)</f>
        <v>6</v>
      </c>
      <c r="BF41" s="12" t="n">
        <v>38</v>
      </c>
      <c r="BH41" s="12" t="n">
        <v>1</v>
      </c>
      <c r="BI41" s="12" t="n">
        <v>3</v>
      </c>
      <c r="BJ41" s="12" t="n">
        <v>0</v>
      </c>
      <c r="BK41" s="12" t="n">
        <v>0</v>
      </c>
      <c r="BL41" s="12" t="n">
        <v>0</v>
      </c>
      <c r="BM41" s="12" t="n">
        <v>0</v>
      </c>
      <c r="BN41" s="13"/>
      <c r="BO41" s="12" t="n">
        <v>1</v>
      </c>
      <c r="BR41" s="12" t="n">
        <v>1</v>
      </c>
      <c r="BT41" s="12" t="n">
        <v>1</v>
      </c>
      <c r="BW41" s="12" t="n">
        <v>1</v>
      </c>
      <c r="BZ41" s="12" t="n">
        <v>1</v>
      </c>
      <c r="CB41" s="13"/>
      <c r="CC41" s="12" t="n">
        <f aca="false">COUNT(BO41:CA41)</f>
        <v>5</v>
      </c>
      <c r="CH41" s="12" t="n">
        <v>50</v>
      </c>
      <c r="CJ41" s="12" t="n">
        <v>0</v>
      </c>
      <c r="CK41" s="12" t="n">
        <v>2</v>
      </c>
      <c r="CL41" s="12" t="n">
        <v>0</v>
      </c>
      <c r="CM41" s="12" t="n">
        <v>1</v>
      </c>
      <c r="CN41" s="12" t="n">
        <v>0</v>
      </c>
      <c r="CO41" s="12" t="n">
        <v>0</v>
      </c>
      <c r="CP41" s="13"/>
      <c r="CQ41" s="12" t="n">
        <v>1</v>
      </c>
      <c r="CR41" s="12" t="n">
        <v>1</v>
      </c>
      <c r="CV41" s="12" t="n">
        <v>1</v>
      </c>
      <c r="CX41" s="12" t="n">
        <v>1</v>
      </c>
      <c r="CZ41" s="12" t="n">
        <v>1</v>
      </c>
      <c r="DB41" s="12" t="n">
        <v>1</v>
      </c>
      <c r="DD41" s="13"/>
      <c r="DE41" s="12" t="n">
        <f aca="false">COUNT(CQ41:DC41)</f>
        <v>6</v>
      </c>
    </row>
    <row r="42" customFormat="false" ht="18.3" hidden="false" customHeight="true" outlineLevel="0" collapsed="false">
      <c r="B42" s="12" t="n">
        <v>38</v>
      </c>
      <c r="D42" s="12" t="n">
        <v>1</v>
      </c>
      <c r="E42" s="12" t="n">
        <v>3</v>
      </c>
      <c r="F42" s="12" t="n">
        <v>0</v>
      </c>
      <c r="G42" s="12" t="n">
        <v>0</v>
      </c>
      <c r="H42" s="12" t="n">
        <v>0</v>
      </c>
      <c r="I42" s="12" t="n">
        <v>0</v>
      </c>
      <c r="J42" s="13"/>
      <c r="K42" s="12" t="n">
        <v>1</v>
      </c>
      <c r="N42" s="12" t="n">
        <v>1</v>
      </c>
      <c r="P42" s="12" t="n">
        <v>1</v>
      </c>
      <c r="S42" s="12" t="n">
        <v>1</v>
      </c>
      <c r="V42" s="12" t="n">
        <v>1</v>
      </c>
      <c r="X42" s="13"/>
      <c r="Y42" s="12" t="n">
        <f aca="false">COUNT(K42:W42)</f>
        <v>5</v>
      </c>
      <c r="AD42" s="12" t="n">
        <v>38</v>
      </c>
      <c r="AF42" s="12" t="n">
        <v>1</v>
      </c>
      <c r="AG42" s="12" t="n">
        <v>3</v>
      </c>
      <c r="AH42" s="12" t="n">
        <v>0</v>
      </c>
      <c r="AI42" s="12" t="n">
        <v>0</v>
      </c>
      <c r="AJ42" s="12" t="n">
        <v>0</v>
      </c>
      <c r="AK42" s="12" t="n">
        <v>0</v>
      </c>
      <c r="AL42" s="13"/>
      <c r="AM42" s="12" t="n">
        <v>1</v>
      </c>
      <c r="AP42" s="12" t="n">
        <v>1</v>
      </c>
      <c r="AR42" s="12" t="n">
        <v>1</v>
      </c>
      <c r="AU42" s="12" t="n">
        <v>1</v>
      </c>
      <c r="AX42" s="12" t="n">
        <v>1</v>
      </c>
      <c r="AZ42" s="13"/>
      <c r="BA42" s="12" t="n">
        <f aca="false">COUNT(AM42:AY42)</f>
        <v>5</v>
      </c>
      <c r="BF42" s="12" t="n">
        <v>39</v>
      </c>
      <c r="BH42" s="12" t="n">
        <v>1</v>
      </c>
      <c r="BI42" s="12" t="n">
        <v>2</v>
      </c>
      <c r="BJ42" s="12" t="n">
        <v>0</v>
      </c>
      <c r="BK42" s="12" t="n">
        <v>0</v>
      </c>
      <c r="BL42" s="12" t="n">
        <v>0</v>
      </c>
      <c r="BM42" s="12" t="n">
        <v>0</v>
      </c>
      <c r="BN42" s="13"/>
      <c r="BO42" s="12" t="n">
        <v>1</v>
      </c>
      <c r="BT42" s="12" t="n">
        <v>1</v>
      </c>
      <c r="BW42" s="12" t="n">
        <v>1</v>
      </c>
      <c r="BZ42" s="12" t="n">
        <v>1</v>
      </c>
      <c r="CB42" s="13"/>
      <c r="CC42" s="12" t="n">
        <f aca="false">COUNT(BO42:CA42)</f>
        <v>4</v>
      </c>
    </row>
    <row r="43" customFormat="false" ht="18.3" hidden="false" customHeight="true" outlineLevel="0" collapsed="false">
      <c r="B43" s="12" t="n">
        <v>39</v>
      </c>
      <c r="D43" s="12" t="n">
        <v>1</v>
      </c>
      <c r="E43" s="12" t="n">
        <v>2</v>
      </c>
      <c r="F43" s="12" t="n">
        <v>0</v>
      </c>
      <c r="G43" s="12" t="n">
        <v>0</v>
      </c>
      <c r="H43" s="12" t="n">
        <v>0</v>
      </c>
      <c r="I43" s="12" t="n">
        <v>0</v>
      </c>
      <c r="J43" s="13"/>
      <c r="K43" s="12" t="n">
        <v>1</v>
      </c>
      <c r="P43" s="12" t="n">
        <v>1</v>
      </c>
      <c r="S43" s="12" t="n">
        <v>1</v>
      </c>
      <c r="V43" s="12" t="n">
        <v>1</v>
      </c>
      <c r="X43" s="13"/>
      <c r="Y43" s="12" t="n">
        <f aca="false">COUNT(K43:W43)</f>
        <v>4</v>
      </c>
      <c r="AD43" s="12" t="n">
        <v>39</v>
      </c>
      <c r="AF43" s="12" t="n">
        <v>1</v>
      </c>
      <c r="AG43" s="12" t="n">
        <v>2</v>
      </c>
      <c r="AH43" s="12" t="n">
        <v>0</v>
      </c>
      <c r="AI43" s="12" t="n">
        <v>0</v>
      </c>
      <c r="AJ43" s="12" t="n">
        <v>0</v>
      </c>
      <c r="AK43" s="12" t="n">
        <v>0</v>
      </c>
      <c r="AL43" s="13"/>
      <c r="AM43" s="12" t="n">
        <v>1</v>
      </c>
      <c r="AR43" s="12" t="n">
        <v>1</v>
      </c>
      <c r="AU43" s="12" t="n">
        <v>1</v>
      </c>
      <c r="AX43" s="12" t="n">
        <v>1</v>
      </c>
      <c r="AZ43" s="13"/>
      <c r="BA43" s="12" t="n">
        <f aca="false">COUNT(AM43:AY43)</f>
        <v>4</v>
      </c>
      <c r="BF43" s="12" t="n">
        <v>40</v>
      </c>
      <c r="BH43" s="12" t="n">
        <v>1</v>
      </c>
      <c r="BI43" s="12" t="n">
        <v>1</v>
      </c>
      <c r="BJ43" s="12" t="n">
        <v>0</v>
      </c>
      <c r="BK43" s="12" t="n">
        <v>1</v>
      </c>
      <c r="BL43" s="12" t="n">
        <v>0</v>
      </c>
      <c r="BM43" s="12" t="n">
        <v>0</v>
      </c>
      <c r="BN43" s="13"/>
      <c r="BO43" s="12" t="n">
        <v>1</v>
      </c>
      <c r="BP43" s="12" t="n">
        <v>1</v>
      </c>
      <c r="BR43" s="12" t="n">
        <v>1</v>
      </c>
      <c r="BT43" s="12" t="n">
        <v>1</v>
      </c>
      <c r="BW43" s="12" t="n">
        <v>1</v>
      </c>
      <c r="BX43" s="12" t="n">
        <v>1</v>
      </c>
      <c r="CB43" s="13"/>
      <c r="CC43" s="12" t="n">
        <f aca="false">COUNT(BO43:CA43)</f>
        <v>6</v>
      </c>
    </row>
    <row r="44" customFormat="false" ht="18.3" hidden="false" customHeight="true" outlineLevel="0" collapsed="false">
      <c r="B44" s="12" t="n">
        <v>40</v>
      </c>
      <c r="D44" s="12" t="n">
        <v>1</v>
      </c>
      <c r="E44" s="12" t="n">
        <v>1</v>
      </c>
      <c r="F44" s="12" t="n">
        <v>0</v>
      </c>
      <c r="G44" s="12" t="n">
        <v>1</v>
      </c>
      <c r="H44" s="12" t="n">
        <v>0</v>
      </c>
      <c r="I44" s="12" t="n">
        <v>0</v>
      </c>
      <c r="J44" s="13"/>
      <c r="K44" s="12" t="n">
        <v>1</v>
      </c>
      <c r="L44" s="12" t="n">
        <v>1</v>
      </c>
      <c r="N44" s="12" t="n">
        <v>1</v>
      </c>
      <c r="P44" s="12" t="n">
        <v>1</v>
      </c>
      <c r="S44" s="12" t="n">
        <v>1</v>
      </c>
      <c r="T44" s="12" t="n">
        <v>1</v>
      </c>
      <c r="X44" s="13"/>
      <c r="Y44" s="12" t="n">
        <f aca="false">COUNT(K44:W44)</f>
        <v>6</v>
      </c>
      <c r="AD44" s="12" t="n">
        <v>40</v>
      </c>
      <c r="AF44" s="12" t="n">
        <v>1</v>
      </c>
      <c r="AG44" s="12" t="n">
        <v>1</v>
      </c>
      <c r="AH44" s="12" t="n">
        <v>0</v>
      </c>
      <c r="AI44" s="12" t="n">
        <v>1</v>
      </c>
      <c r="AJ44" s="12" t="n">
        <v>0</v>
      </c>
      <c r="AK44" s="12" t="n">
        <v>0</v>
      </c>
      <c r="AL44" s="13"/>
      <c r="AM44" s="12" t="n">
        <v>1</v>
      </c>
      <c r="AN44" s="12" t="n">
        <v>1</v>
      </c>
      <c r="AP44" s="12" t="n">
        <v>1</v>
      </c>
      <c r="AR44" s="12" t="n">
        <v>1</v>
      </c>
      <c r="AU44" s="12" t="n">
        <v>1</v>
      </c>
      <c r="AV44" s="12" t="n">
        <v>1</v>
      </c>
      <c r="AZ44" s="13"/>
      <c r="BA44" s="12" t="n">
        <f aca="false">COUNT(AM44:AY44)</f>
        <v>6</v>
      </c>
      <c r="BF44" s="12" t="n">
        <v>42</v>
      </c>
      <c r="BH44" s="12" t="n">
        <v>1</v>
      </c>
      <c r="BI44" s="12" t="n">
        <v>0</v>
      </c>
      <c r="BJ44" s="12" t="n">
        <v>0</v>
      </c>
      <c r="BK44" s="12" t="n">
        <v>0</v>
      </c>
      <c r="BL44" s="12" t="n">
        <v>1</v>
      </c>
      <c r="BM44" s="12" t="n">
        <v>0</v>
      </c>
      <c r="BN44" s="13"/>
      <c r="BO44" s="12" t="n">
        <v>1</v>
      </c>
      <c r="BR44" s="12" t="n">
        <v>1</v>
      </c>
      <c r="BW44" s="12" t="n">
        <v>1</v>
      </c>
      <c r="BZ44" s="12" t="n">
        <v>1</v>
      </c>
      <c r="CB44" s="13"/>
      <c r="CC44" s="12" t="n">
        <f aca="false">COUNT(BO44:CA44)</f>
        <v>4</v>
      </c>
    </row>
    <row r="45" customFormat="false" ht="18.3" hidden="false" customHeight="true" outlineLevel="0" collapsed="false">
      <c r="B45" s="12" t="n">
        <v>41</v>
      </c>
      <c r="D45" s="12" t="n">
        <v>1</v>
      </c>
      <c r="E45" s="12" t="n">
        <v>1</v>
      </c>
      <c r="F45" s="12" t="n">
        <v>0</v>
      </c>
      <c r="G45" s="12" t="n">
        <v>0</v>
      </c>
      <c r="H45" s="12" t="n">
        <v>0</v>
      </c>
      <c r="I45" s="12" t="n">
        <v>0</v>
      </c>
      <c r="J45" s="13"/>
      <c r="K45" s="12" t="n">
        <v>1</v>
      </c>
      <c r="P45" s="12" t="n">
        <v>1</v>
      </c>
      <c r="S45" s="12" t="n">
        <v>1</v>
      </c>
      <c r="X45" s="13"/>
      <c r="Y45" s="12" t="n">
        <f aca="false">COUNT(K45:W45)</f>
        <v>3</v>
      </c>
      <c r="AD45" s="12" t="n">
        <v>41</v>
      </c>
      <c r="AF45" s="12" t="n">
        <v>1</v>
      </c>
      <c r="AG45" s="12" t="n">
        <v>1</v>
      </c>
      <c r="AH45" s="12" t="n">
        <v>0</v>
      </c>
      <c r="AI45" s="12" t="n">
        <v>0</v>
      </c>
      <c r="AJ45" s="12" t="n">
        <v>0</v>
      </c>
      <c r="AK45" s="12" t="n">
        <v>0</v>
      </c>
      <c r="AL45" s="13"/>
      <c r="AM45" s="12" t="n">
        <v>1</v>
      </c>
      <c r="AR45" s="12" t="n">
        <v>1</v>
      </c>
      <c r="AU45" s="12" t="n">
        <v>1</v>
      </c>
      <c r="AZ45" s="13"/>
      <c r="BA45" s="12" t="n">
        <f aca="false">COUNT(AM45:AY45)</f>
        <v>3</v>
      </c>
      <c r="BF45" s="12" t="n">
        <v>43</v>
      </c>
      <c r="BH45" s="12" t="n">
        <v>1</v>
      </c>
      <c r="BI45" s="12" t="n">
        <v>0</v>
      </c>
      <c r="BJ45" s="12" t="n">
        <v>0</v>
      </c>
      <c r="BK45" s="12" t="n">
        <v>1</v>
      </c>
      <c r="BL45" s="12" t="n">
        <v>0</v>
      </c>
      <c r="BM45" s="12" t="n">
        <v>0</v>
      </c>
      <c r="BN45" s="13"/>
      <c r="BO45" s="12" t="n">
        <v>1</v>
      </c>
      <c r="BR45" s="12" t="n">
        <v>1</v>
      </c>
      <c r="BW45" s="12" t="n">
        <v>1</v>
      </c>
      <c r="BX45" s="12" t="n">
        <v>1</v>
      </c>
      <c r="CB45" s="13"/>
      <c r="CC45" s="12" t="n">
        <f aca="false">COUNT(BO45:CA45)</f>
        <v>4</v>
      </c>
    </row>
    <row r="46" customFormat="false" ht="18.3" hidden="false" customHeight="true" outlineLevel="0" collapsed="false">
      <c r="B46" s="12" t="n">
        <v>42</v>
      </c>
      <c r="D46" s="12" t="n">
        <v>1</v>
      </c>
      <c r="E46" s="12" t="n">
        <v>0</v>
      </c>
      <c r="F46" s="12" t="n">
        <v>0</v>
      </c>
      <c r="G46" s="12" t="n">
        <v>0</v>
      </c>
      <c r="H46" s="12" t="n">
        <v>1</v>
      </c>
      <c r="I46" s="12" t="n">
        <v>0</v>
      </c>
      <c r="J46" s="13"/>
      <c r="K46" s="12" t="n">
        <v>1</v>
      </c>
      <c r="N46" s="12" t="n">
        <v>1</v>
      </c>
      <c r="S46" s="12" t="n">
        <v>1</v>
      </c>
      <c r="V46" s="12" t="n">
        <v>1</v>
      </c>
      <c r="X46" s="13"/>
      <c r="Y46" s="12" t="n">
        <f aca="false">COUNT(K46:W46)</f>
        <v>4</v>
      </c>
      <c r="AD46" s="12" t="n">
        <v>42</v>
      </c>
      <c r="AF46" s="12" t="n">
        <v>1</v>
      </c>
      <c r="AG46" s="12" t="n">
        <v>0</v>
      </c>
      <c r="AH46" s="12" t="n">
        <v>0</v>
      </c>
      <c r="AI46" s="12" t="n">
        <v>0</v>
      </c>
      <c r="AJ46" s="12" t="n">
        <v>1</v>
      </c>
      <c r="AK46" s="12" t="n">
        <v>0</v>
      </c>
      <c r="AL46" s="13"/>
      <c r="AM46" s="12" t="n">
        <v>1</v>
      </c>
      <c r="AP46" s="12" t="n">
        <v>1</v>
      </c>
      <c r="AU46" s="12" t="n">
        <v>1</v>
      </c>
      <c r="AX46" s="12" t="n">
        <v>1</v>
      </c>
      <c r="AZ46" s="13"/>
      <c r="BA46" s="12" t="n">
        <f aca="false">COUNT(AM46:AY46)</f>
        <v>4</v>
      </c>
      <c r="BF46" s="12" t="n">
        <v>45</v>
      </c>
      <c r="BH46" s="12" t="n">
        <v>0</v>
      </c>
      <c r="BI46" s="12" t="n">
        <v>3</v>
      </c>
      <c r="BJ46" s="12" t="n">
        <v>0</v>
      </c>
      <c r="BK46" s="12" t="n">
        <v>0</v>
      </c>
      <c r="BL46" s="12" t="n">
        <v>1</v>
      </c>
      <c r="BM46" s="12" t="n">
        <v>0</v>
      </c>
      <c r="BN46" s="13"/>
      <c r="BO46" s="12" t="n">
        <v>1</v>
      </c>
      <c r="BP46" s="12" t="n">
        <v>1</v>
      </c>
      <c r="BR46" s="12" t="n">
        <v>1</v>
      </c>
      <c r="BT46" s="12" t="n">
        <v>1</v>
      </c>
      <c r="BV46" s="12" t="n">
        <v>1</v>
      </c>
      <c r="BX46" s="12" t="n">
        <v>1</v>
      </c>
      <c r="BZ46" s="12" t="n">
        <v>1</v>
      </c>
      <c r="CB46" s="13"/>
      <c r="CC46" s="12" t="n">
        <f aca="false">COUNT(BO46:CA46)</f>
        <v>7</v>
      </c>
    </row>
    <row r="47" customFormat="false" ht="18.3" hidden="false" customHeight="true" outlineLevel="0" collapsed="false">
      <c r="B47" s="12" t="n">
        <v>43</v>
      </c>
      <c r="D47" s="12" t="n">
        <v>1</v>
      </c>
      <c r="E47" s="12" t="n">
        <v>0</v>
      </c>
      <c r="F47" s="12" t="n">
        <v>0</v>
      </c>
      <c r="G47" s="12" t="n">
        <v>1</v>
      </c>
      <c r="H47" s="12" t="n">
        <v>0</v>
      </c>
      <c r="I47" s="12" t="n">
        <v>0</v>
      </c>
      <c r="J47" s="13"/>
      <c r="K47" s="12" t="n">
        <v>1</v>
      </c>
      <c r="N47" s="12" t="n">
        <v>1</v>
      </c>
      <c r="S47" s="12" t="n">
        <v>1</v>
      </c>
      <c r="T47" s="12" t="n">
        <v>1</v>
      </c>
      <c r="X47" s="13"/>
      <c r="Y47" s="12" t="n">
        <f aca="false">COUNT(K47:W47)</f>
        <v>4</v>
      </c>
      <c r="AD47" s="12" t="n">
        <v>43</v>
      </c>
      <c r="AF47" s="12" t="n">
        <v>1</v>
      </c>
      <c r="AG47" s="12" t="n">
        <v>0</v>
      </c>
      <c r="AH47" s="12" t="n">
        <v>0</v>
      </c>
      <c r="AI47" s="12" t="n">
        <v>1</v>
      </c>
      <c r="AJ47" s="12" t="n">
        <v>0</v>
      </c>
      <c r="AK47" s="12" t="n">
        <v>0</v>
      </c>
      <c r="AL47" s="13"/>
      <c r="AM47" s="12" t="n">
        <v>1</v>
      </c>
      <c r="AP47" s="12" t="n">
        <v>1</v>
      </c>
      <c r="AU47" s="12" t="n">
        <v>1</v>
      </c>
      <c r="AV47" s="12" t="n">
        <v>1</v>
      </c>
      <c r="AZ47" s="13"/>
      <c r="BA47" s="12" t="n">
        <f aca="false">COUNT(AM47:AY47)</f>
        <v>4</v>
      </c>
      <c r="BF47" s="12" t="n">
        <v>46</v>
      </c>
      <c r="BH47" s="12" t="n">
        <v>0</v>
      </c>
      <c r="BI47" s="12" t="n">
        <v>2</v>
      </c>
      <c r="BJ47" s="12" t="n">
        <v>0</v>
      </c>
      <c r="BK47" s="12" t="n">
        <v>0</v>
      </c>
      <c r="BL47" s="12" t="n">
        <v>1</v>
      </c>
      <c r="BM47" s="12" t="n">
        <v>0</v>
      </c>
      <c r="BN47" s="13"/>
      <c r="BO47" s="12" t="n">
        <v>1</v>
      </c>
      <c r="BP47" s="12" t="n">
        <v>1</v>
      </c>
      <c r="BR47" s="12" t="n">
        <v>1</v>
      </c>
      <c r="BT47" s="12" t="n">
        <v>1</v>
      </c>
      <c r="BX47" s="12" t="n">
        <v>1</v>
      </c>
      <c r="BZ47" s="12" t="n">
        <v>1</v>
      </c>
      <c r="CB47" s="13"/>
      <c r="CC47" s="12" t="n">
        <f aca="false">COUNT(BO47:CA47)</f>
        <v>6</v>
      </c>
    </row>
    <row r="48" customFormat="false" ht="18.3" hidden="false" customHeight="true" outlineLevel="0" collapsed="false">
      <c r="B48" s="12" t="n">
        <v>44</v>
      </c>
      <c r="D48" s="12" t="n">
        <v>1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3"/>
      <c r="K48" s="12" t="n">
        <v>1</v>
      </c>
      <c r="S48" s="12" t="n">
        <v>1</v>
      </c>
      <c r="X48" s="13"/>
      <c r="Y48" s="12" t="n">
        <f aca="false">COUNT(K48:W48)</f>
        <v>2</v>
      </c>
      <c r="AD48" s="12" t="n">
        <v>45</v>
      </c>
      <c r="AF48" s="12" t="n">
        <v>0</v>
      </c>
      <c r="AG48" s="12" t="n">
        <v>3</v>
      </c>
      <c r="AH48" s="12" t="n">
        <v>0</v>
      </c>
      <c r="AI48" s="12" t="n">
        <v>0</v>
      </c>
      <c r="AJ48" s="12" t="n">
        <v>1</v>
      </c>
      <c r="AK48" s="12" t="n">
        <v>0</v>
      </c>
      <c r="AL48" s="13"/>
      <c r="AM48" s="12" t="n">
        <v>1</v>
      </c>
      <c r="AN48" s="12" t="n">
        <v>1</v>
      </c>
      <c r="AP48" s="12" t="n">
        <v>1</v>
      </c>
      <c r="AR48" s="12" t="n">
        <v>1</v>
      </c>
      <c r="AT48" s="12" t="n">
        <v>1</v>
      </c>
      <c r="AV48" s="12" t="n">
        <v>1</v>
      </c>
      <c r="AX48" s="12" t="n">
        <v>1</v>
      </c>
      <c r="AZ48" s="13"/>
      <c r="BA48" s="12" t="n">
        <f aca="false">COUNT(AM48:AY48)</f>
        <v>7</v>
      </c>
      <c r="BF48" s="12" t="n">
        <v>47</v>
      </c>
      <c r="BH48" s="12" t="n">
        <v>0</v>
      </c>
      <c r="BI48" s="12" t="n">
        <v>5</v>
      </c>
      <c r="BJ48" s="12" t="n">
        <v>0</v>
      </c>
      <c r="BK48" s="12" t="n">
        <v>0</v>
      </c>
      <c r="BL48" s="12" t="n">
        <v>0</v>
      </c>
      <c r="BM48" s="12" t="n">
        <v>0</v>
      </c>
      <c r="BN48" s="13"/>
      <c r="BO48" s="12" t="n">
        <v>1</v>
      </c>
      <c r="BP48" s="12" t="n">
        <v>1</v>
      </c>
      <c r="BR48" s="12" t="n">
        <v>1</v>
      </c>
      <c r="BT48" s="12" t="n">
        <v>1</v>
      </c>
      <c r="BX48" s="12" t="n">
        <v>1</v>
      </c>
      <c r="BZ48" s="12" t="n">
        <v>1</v>
      </c>
      <c r="CB48" s="13"/>
      <c r="CC48" s="12" t="n">
        <f aca="false">COUNT(BO48:CA48)</f>
        <v>6</v>
      </c>
    </row>
    <row r="49" customFormat="false" ht="18.3" hidden="false" customHeight="true" outlineLevel="0" collapsed="false">
      <c r="B49" s="12" t="n">
        <v>45</v>
      </c>
      <c r="D49" s="12" t="n">
        <v>0</v>
      </c>
      <c r="E49" s="12" t="n">
        <v>3</v>
      </c>
      <c r="F49" s="12" t="n">
        <v>0</v>
      </c>
      <c r="G49" s="12" t="n">
        <v>0</v>
      </c>
      <c r="H49" s="12" t="n">
        <v>1</v>
      </c>
      <c r="I49" s="12" t="n">
        <v>0</v>
      </c>
      <c r="J49" s="13"/>
      <c r="K49" s="12" t="n">
        <v>1</v>
      </c>
      <c r="L49" s="12" t="n">
        <v>1</v>
      </c>
      <c r="N49" s="12" t="n">
        <v>1</v>
      </c>
      <c r="P49" s="12" t="n">
        <v>1</v>
      </c>
      <c r="R49" s="12" t="n">
        <v>1</v>
      </c>
      <c r="T49" s="12" t="n">
        <v>1</v>
      </c>
      <c r="V49" s="12" t="n">
        <v>1</v>
      </c>
      <c r="X49" s="13"/>
      <c r="Y49" s="12" t="n">
        <f aca="false">COUNT(K49:W49)</f>
        <v>7</v>
      </c>
      <c r="AD49" s="12" t="n">
        <v>46</v>
      </c>
      <c r="AF49" s="12" t="n">
        <v>0</v>
      </c>
      <c r="AG49" s="12" t="n">
        <v>2</v>
      </c>
      <c r="AH49" s="12" t="n">
        <v>0</v>
      </c>
      <c r="AI49" s="12" t="n">
        <v>0</v>
      </c>
      <c r="AJ49" s="12" t="n">
        <v>1</v>
      </c>
      <c r="AK49" s="12" t="n">
        <v>0</v>
      </c>
      <c r="AL49" s="13"/>
      <c r="AM49" s="12" t="n">
        <v>1</v>
      </c>
      <c r="AN49" s="12" t="n">
        <v>1</v>
      </c>
      <c r="AP49" s="12" t="n">
        <v>1</v>
      </c>
      <c r="AR49" s="12" t="n">
        <v>1</v>
      </c>
      <c r="AV49" s="12" t="n">
        <v>1</v>
      </c>
      <c r="AX49" s="12" t="n">
        <v>1</v>
      </c>
      <c r="AZ49" s="13"/>
      <c r="BA49" s="12" t="n">
        <f aca="false">COUNT(AM49:AY49)</f>
        <v>6</v>
      </c>
      <c r="BF49" s="12" t="n">
        <v>48</v>
      </c>
      <c r="BH49" s="12" t="n">
        <v>0</v>
      </c>
      <c r="BI49" s="12" t="n">
        <v>4</v>
      </c>
      <c r="BJ49" s="12" t="n">
        <v>0</v>
      </c>
      <c r="BK49" s="12" t="n">
        <v>0</v>
      </c>
      <c r="BL49" s="12" t="n">
        <v>0</v>
      </c>
      <c r="BM49" s="12" t="n">
        <v>0</v>
      </c>
      <c r="BN49" s="13"/>
      <c r="BO49" s="12" t="n">
        <v>1</v>
      </c>
      <c r="BR49" s="12" t="n">
        <v>1</v>
      </c>
      <c r="BT49" s="12" t="n">
        <v>1</v>
      </c>
      <c r="BX49" s="12" t="n">
        <v>1</v>
      </c>
      <c r="BZ49" s="12" t="n">
        <v>1</v>
      </c>
      <c r="CB49" s="13"/>
      <c r="CC49" s="12" t="n">
        <f aca="false">COUNT(BO49:CA49)</f>
        <v>5</v>
      </c>
    </row>
    <row r="50" customFormat="false" ht="18.3" hidden="false" customHeight="true" outlineLevel="0" collapsed="false">
      <c r="B50" s="12" t="n">
        <v>46</v>
      </c>
      <c r="D50" s="12" t="n">
        <v>0</v>
      </c>
      <c r="E50" s="12" t="n">
        <v>2</v>
      </c>
      <c r="F50" s="12" t="n">
        <v>0</v>
      </c>
      <c r="G50" s="12" t="n">
        <v>0</v>
      </c>
      <c r="H50" s="12" t="n">
        <v>1</v>
      </c>
      <c r="I50" s="12" t="n">
        <v>0</v>
      </c>
      <c r="J50" s="13"/>
      <c r="K50" s="12" t="n">
        <v>1</v>
      </c>
      <c r="L50" s="12" t="n">
        <v>1</v>
      </c>
      <c r="N50" s="12" t="n">
        <v>1</v>
      </c>
      <c r="P50" s="12" t="n">
        <v>1</v>
      </c>
      <c r="T50" s="12" t="n">
        <v>1</v>
      </c>
      <c r="V50" s="12" t="n">
        <v>1</v>
      </c>
      <c r="X50" s="13"/>
      <c r="Y50" s="12" t="n">
        <f aca="false">COUNT(K50:W50)</f>
        <v>6</v>
      </c>
      <c r="AD50" s="12" t="n">
        <v>47</v>
      </c>
      <c r="AF50" s="12" t="n">
        <v>0</v>
      </c>
      <c r="AG50" s="12" t="n">
        <v>5</v>
      </c>
      <c r="AH50" s="12" t="n">
        <v>0</v>
      </c>
      <c r="AI50" s="12" t="n">
        <v>0</v>
      </c>
      <c r="AJ50" s="12" t="n">
        <v>0</v>
      </c>
      <c r="AK50" s="12" t="n">
        <v>0</v>
      </c>
      <c r="AL50" s="13"/>
      <c r="AM50" s="12" t="n">
        <v>1</v>
      </c>
      <c r="AN50" s="12" t="n">
        <v>1</v>
      </c>
      <c r="AP50" s="12" t="n">
        <v>1</v>
      </c>
      <c r="AR50" s="12" t="n">
        <v>1</v>
      </c>
      <c r="AV50" s="12" t="n">
        <v>1</v>
      </c>
      <c r="AX50" s="12" t="n">
        <v>1</v>
      </c>
      <c r="AZ50" s="13"/>
      <c r="BA50" s="12" t="n">
        <f aca="false">COUNT(AM50:AY50)</f>
        <v>6</v>
      </c>
      <c r="BF50" s="12" t="n">
        <v>49</v>
      </c>
      <c r="BH50" s="12" t="n">
        <v>0</v>
      </c>
      <c r="BI50" s="12" t="n">
        <v>3</v>
      </c>
      <c r="BJ50" s="12" t="n">
        <v>0</v>
      </c>
      <c r="BK50" s="12" t="n">
        <v>0</v>
      </c>
      <c r="BL50" s="12" t="n">
        <v>0</v>
      </c>
      <c r="BM50" s="12" t="n">
        <v>0</v>
      </c>
      <c r="BN50" s="13"/>
      <c r="BO50" s="12" t="n">
        <v>1</v>
      </c>
      <c r="BR50" s="12" t="n">
        <v>1</v>
      </c>
      <c r="BT50" s="12" t="n">
        <v>1</v>
      </c>
      <c r="BZ50" s="12" t="n">
        <v>1</v>
      </c>
      <c r="CB50" s="13"/>
      <c r="CC50" s="12" t="n">
        <f aca="false">COUNT(BO50:CA50)</f>
        <v>4</v>
      </c>
    </row>
    <row r="51" customFormat="false" ht="18.3" hidden="false" customHeight="true" outlineLevel="0" collapsed="false">
      <c r="B51" s="12" t="n">
        <v>47</v>
      </c>
      <c r="D51" s="12" t="n">
        <v>0</v>
      </c>
      <c r="E51" s="12" t="n">
        <v>5</v>
      </c>
      <c r="F51" s="12" t="n">
        <v>0</v>
      </c>
      <c r="G51" s="12" t="n">
        <v>0</v>
      </c>
      <c r="H51" s="12" t="n">
        <v>0</v>
      </c>
      <c r="I51" s="12" t="n">
        <v>0</v>
      </c>
      <c r="J51" s="13"/>
      <c r="K51" s="12" t="n">
        <v>1</v>
      </c>
      <c r="L51" s="12" t="n">
        <v>1</v>
      </c>
      <c r="N51" s="12" t="n">
        <v>1</v>
      </c>
      <c r="P51" s="12" t="n">
        <v>1</v>
      </c>
      <c r="T51" s="12" t="n">
        <v>1</v>
      </c>
      <c r="V51" s="12" t="n">
        <v>1</v>
      </c>
      <c r="X51" s="13"/>
      <c r="Y51" s="12" t="n">
        <f aca="false">COUNT(K51:W51)</f>
        <v>6</v>
      </c>
      <c r="AD51" s="12" t="n">
        <v>48</v>
      </c>
      <c r="AF51" s="12" t="n">
        <v>0</v>
      </c>
      <c r="AG51" s="12" t="n">
        <v>4</v>
      </c>
      <c r="AH51" s="12" t="n">
        <v>0</v>
      </c>
      <c r="AI51" s="12" t="n">
        <v>0</v>
      </c>
      <c r="AJ51" s="12" t="n">
        <v>0</v>
      </c>
      <c r="AK51" s="12" t="n">
        <v>0</v>
      </c>
      <c r="AL51" s="13"/>
      <c r="AM51" s="12" t="n">
        <v>1</v>
      </c>
      <c r="AP51" s="12" t="n">
        <v>1</v>
      </c>
      <c r="AR51" s="12" t="n">
        <v>1</v>
      </c>
      <c r="AV51" s="12" t="n">
        <v>1</v>
      </c>
      <c r="AX51" s="12" t="n">
        <v>1</v>
      </c>
      <c r="AZ51" s="13"/>
      <c r="BA51" s="12" t="n">
        <f aca="false">COUNT(AM51:AY51)</f>
        <v>5</v>
      </c>
      <c r="BF51" s="12" t="n">
        <v>50</v>
      </c>
      <c r="BH51" s="12" t="n">
        <v>0</v>
      </c>
      <c r="BI51" s="12" t="n">
        <v>2</v>
      </c>
      <c r="BJ51" s="12" t="n">
        <v>0</v>
      </c>
      <c r="BK51" s="12" t="n">
        <v>1</v>
      </c>
      <c r="BL51" s="12" t="n">
        <v>0</v>
      </c>
      <c r="BM51" s="12" t="n">
        <v>0</v>
      </c>
      <c r="BN51" s="13"/>
      <c r="BO51" s="12" t="n">
        <v>1</v>
      </c>
      <c r="BP51" s="12" t="n">
        <v>1</v>
      </c>
      <c r="BT51" s="12" t="n">
        <v>1</v>
      </c>
      <c r="BV51" s="12" t="n">
        <v>1</v>
      </c>
      <c r="BX51" s="12" t="n">
        <v>1</v>
      </c>
      <c r="BZ51" s="12" t="n">
        <v>1</v>
      </c>
      <c r="CB51" s="13"/>
      <c r="CC51" s="12" t="n">
        <f aca="false">COUNT(BO51:CA51)</f>
        <v>6</v>
      </c>
    </row>
    <row r="52" customFormat="false" ht="18.3" hidden="false" customHeight="true" outlineLevel="0" collapsed="false">
      <c r="B52" s="12" t="n">
        <v>48</v>
      </c>
      <c r="D52" s="12" t="n">
        <v>0</v>
      </c>
      <c r="E52" s="12" t="n">
        <v>4</v>
      </c>
      <c r="F52" s="12" t="n">
        <v>0</v>
      </c>
      <c r="G52" s="12" t="n">
        <v>0</v>
      </c>
      <c r="H52" s="12" t="n">
        <v>0</v>
      </c>
      <c r="I52" s="12" t="n">
        <v>0</v>
      </c>
      <c r="J52" s="13"/>
      <c r="K52" s="12" t="n">
        <v>1</v>
      </c>
      <c r="N52" s="12" t="n">
        <v>1</v>
      </c>
      <c r="P52" s="12" t="n">
        <v>1</v>
      </c>
      <c r="T52" s="12" t="n">
        <v>1</v>
      </c>
      <c r="V52" s="12" t="n">
        <v>1</v>
      </c>
      <c r="X52" s="13"/>
      <c r="Y52" s="12" t="n">
        <f aca="false">COUNT(K52:W52)</f>
        <v>5</v>
      </c>
      <c r="AD52" s="12" t="n">
        <v>49</v>
      </c>
      <c r="AF52" s="12" t="n">
        <v>0</v>
      </c>
      <c r="AG52" s="12" t="n">
        <v>3</v>
      </c>
      <c r="AH52" s="12" t="n">
        <v>0</v>
      </c>
      <c r="AI52" s="12" t="n">
        <v>0</v>
      </c>
      <c r="AJ52" s="12" t="n">
        <v>0</v>
      </c>
      <c r="AK52" s="12" t="n">
        <v>0</v>
      </c>
      <c r="AL52" s="13"/>
      <c r="AM52" s="12" t="n">
        <v>1</v>
      </c>
      <c r="AP52" s="12" t="n">
        <v>1</v>
      </c>
      <c r="AR52" s="12" t="n">
        <v>1</v>
      </c>
      <c r="AX52" s="12" t="n">
        <v>1</v>
      </c>
      <c r="AZ52" s="13"/>
      <c r="BA52" s="12" t="n">
        <f aca="false">COUNT(AM52:AY52)</f>
        <v>4</v>
      </c>
      <c r="BF52" s="12" t="n">
        <v>52</v>
      </c>
      <c r="BH52" s="12" t="n">
        <v>0</v>
      </c>
      <c r="BI52" s="12" t="n">
        <v>1</v>
      </c>
      <c r="BJ52" s="12" t="n">
        <v>0</v>
      </c>
      <c r="BK52" s="12" t="n">
        <v>0</v>
      </c>
      <c r="BL52" s="12" t="n">
        <v>1</v>
      </c>
      <c r="BM52" s="12" t="n">
        <v>0</v>
      </c>
      <c r="BN52" s="13"/>
      <c r="BO52" s="12" t="n">
        <v>1</v>
      </c>
      <c r="BR52" s="12" t="n">
        <v>1</v>
      </c>
      <c r="BT52" s="12" t="n">
        <v>1</v>
      </c>
      <c r="BX52" s="12" t="n">
        <v>1</v>
      </c>
      <c r="CB52" s="13"/>
      <c r="CC52" s="12" t="n">
        <f aca="false">COUNT(BO52:CA52)</f>
        <v>4</v>
      </c>
    </row>
    <row r="53" customFormat="false" ht="18.3" hidden="false" customHeight="true" outlineLevel="0" collapsed="false">
      <c r="B53" s="12" t="n">
        <v>49</v>
      </c>
      <c r="D53" s="12" t="n">
        <v>0</v>
      </c>
      <c r="E53" s="12" t="n">
        <v>3</v>
      </c>
      <c r="F53" s="12" t="n">
        <v>0</v>
      </c>
      <c r="G53" s="12" t="n">
        <v>0</v>
      </c>
      <c r="H53" s="12" t="n">
        <v>0</v>
      </c>
      <c r="I53" s="12" t="n">
        <v>0</v>
      </c>
      <c r="J53" s="13"/>
      <c r="K53" s="12" t="n">
        <v>1</v>
      </c>
      <c r="N53" s="12" t="n">
        <v>1</v>
      </c>
      <c r="P53" s="12" t="n">
        <v>1</v>
      </c>
      <c r="V53" s="12" t="n">
        <v>1</v>
      </c>
      <c r="X53" s="13"/>
      <c r="Y53" s="12" t="n">
        <f aca="false">COUNT(K53:W53)</f>
        <v>4</v>
      </c>
      <c r="AD53" s="12" t="n">
        <v>50</v>
      </c>
      <c r="AF53" s="12" t="n">
        <v>0</v>
      </c>
      <c r="AG53" s="12" t="n">
        <v>2</v>
      </c>
      <c r="AH53" s="12" t="n">
        <v>0</v>
      </c>
      <c r="AI53" s="12" t="n">
        <v>1</v>
      </c>
      <c r="AJ53" s="12" t="n">
        <v>0</v>
      </c>
      <c r="AK53" s="12" t="n">
        <v>0</v>
      </c>
      <c r="AL53" s="13"/>
      <c r="AM53" s="12" t="n">
        <v>1</v>
      </c>
      <c r="AN53" s="12" t="n">
        <v>1</v>
      </c>
      <c r="AR53" s="12" t="n">
        <v>1</v>
      </c>
      <c r="AT53" s="12" t="n">
        <v>1</v>
      </c>
      <c r="AV53" s="12" t="n">
        <v>1</v>
      </c>
      <c r="AX53" s="12" t="n">
        <v>1</v>
      </c>
      <c r="AZ53" s="13"/>
      <c r="BA53" s="12" t="n">
        <f aca="false">COUNT(AM53:AY53)</f>
        <v>6</v>
      </c>
      <c r="BF53" s="12" t="n">
        <v>53</v>
      </c>
      <c r="BH53" s="12" t="n">
        <v>0</v>
      </c>
      <c r="BI53" s="12" t="n">
        <v>1</v>
      </c>
      <c r="BJ53" s="12" t="n">
        <v>0</v>
      </c>
      <c r="BK53" s="12" t="n">
        <v>1</v>
      </c>
      <c r="BL53" s="12" t="n">
        <v>0</v>
      </c>
      <c r="BM53" s="12" t="n">
        <v>0</v>
      </c>
      <c r="BN53" s="13"/>
      <c r="BO53" s="12" t="n">
        <v>1</v>
      </c>
      <c r="BP53" s="12" t="n">
        <v>1</v>
      </c>
      <c r="BT53" s="12" t="n">
        <v>1</v>
      </c>
      <c r="BX53" s="12" t="n">
        <v>1</v>
      </c>
      <c r="CB53" s="13"/>
      <c r="CC53" s="12" t="n">
        <f aca="false">COUNT(BO53:CA53)</f>
        <v>4</v>
      </c>
    </row>
    <row r="54" customFormat="false" ht="18.3" hidden="false" customHeight="true" outlineLevel="0" collapsed="false">
      <c r="B54" s="12" t="n">
        <v>50</v>
      </c>
      <c r="D54" s="12" t="n">
        <v>0</v>
      </c>
      <c r="E54" s="12" t="n">
        <v>2</v>
      </c>
      <c r="F54" s="12" t="n">
        <v>0</v>
      </c>
      <c r="G54" s="12" t="n">
        <v>1</v>
      </c>
      <c r="H54" s="12" t="n">
        <v>0</v>
      </c>
      <c r="I54" s="12" t="n">
        <v>0</v>
      </c>
      <c r="J54" s="13"/>
      <c r="K54" s="12" t="n">
        <v>1</v>
      </c>
      <c r="L54" s="12" t="n">
        <v>1</v>
      </c>
      <c r="P54" s="12" t="n">
        <v>1</v>
      </c>
      <c r="R54" s="12" t="n">
        <v>1</v>
      </c>
      <c r="T54" s="12" t="n">
        <v>1</v>
      </c>
      <c r="V54" s="12" t="n">
        <v>1</v>
      </c>
      <c r="X54" s="13"/>
      <c r="Y54" s="12" t="n">
        <f aca="false">COUNT(K54:W54)</f>
        <v>6</v>
      </c>
      <c r="AD54" s="12" t="n">
        <v>51</v>
      </c>
      <c r="AF54" s="12" t="n">
        <v>0</v>
      </c>
      <c r="AG54" s="12" t="n">
        <v>2</v>
      </c>
      <c r="AH54" s="12" t="n">
        <v>0</v>
      </c>
      <c r="AI54" s="12" t="n">
        <v>0</v>
      </c>
      <c r="AJ54" s="12" t="n">
        <v>0</v>
      </c>
      <c r="AK54" s="12" t="n">
        <v>0</v>
      </c>
      <c r="AL54" s="13"/>
      <c r="AM54" s="12" t="n">
        <v>1</v>
      </c>
      <c r="AR54" s="12" t="n">
        <v>1</v>
      </c>
      <c r="AX54" s="12" t="n">
        <v>1</v>
      </c>
      <c r="AZ54" s="13"/>
      <c r="BA54" s="12" t="n">
        <f aca="false">COUNT(AM54:AY54)</f>
        <v>3</v>
      </c>
    </row>
    <row r="55" customFormat="false" ht="18.3" hidden="false" customHeight="true" outlineLevel="0" collapsed="false">
      <c r="B55" s="12" t="n">
        <v>51</v>
      </c>
      <c r="D55" s="12" t="n">
        <v>0</v>
      </c>
      <c r="E55" s="12" t="n">
        <v>2</v>
      </c>
      <c r="F55" s="12" t="n">
        <v>0</v>
      </c>
      <c r="G55" s="12" t="n">
        <v>0</v>
      </c>
      <c r="H55" s="12" t="n">
        <v>0</v>
      </c>
      <c r="I55" s="12" t="n">
        <v>0</v>
      </c>
      <c r="J55" s="13"/>
      <c r="K55" s="12" t="n">
        <v>1</v>
      </c>
      <c r="P55" s="12" t="n">
        <v>1</v>
      </c>
      <c r="V55" s="12" t="n">
        <v>1</v>
      </c>
      <c r="X55" s="13"/>
      <c r="Y55" s="12" t="n">
        <f aca="false">COUNT(K55:W55)</f>
        <v>3</v>
      </c>
      <c r="AD55" s="12" t="n">
        <v>52</v>
      </c>
      <c r="AF55" s="12" t="n">
        <v>0</v>
      </c>
      <c r="AG55" s="12" t="n">
        <v>1</v>
      </c>
      <c r="AH55" s="12" t="n">
        <v>0</v>
      </c>
      <c r="AI55" s="12" t="n">
        <v>0</v>
      </c>
      <c r="AJ55" s="12" t="n">
        <v>1</v>
      </c>
      <c r="AK55" s="12" t="n">
        <v>0</v>
      </c>
      <c r="AL55" s="13"/>
      <c r="AM55" s="12" t="n">
        <v>1</v>
      </c>
      <c r="AP55" s="12" t="n">
        <v>1</v>
      </c>
      <c r="AR55" s="12" t="n">
        <v>1</v>
      </c>
      <c r="AV55" s="12" t="n">
        <v>1</v>
      </c>
      <c r="AZ55" s="13"/>
      <c r="BA55" s="12" t="n">
        <f aca="false">COUNT(AM55:AY55)</f>
        <v>4</v>
      </c>
    </row>
    <row r="56" customFormat="false" ht="18.3" hidden="false" customHeight="true" outlineLevel="0" collapsed="false">
      <c r="B56" s="12" t="n">
        <v>52</v>
      </c>
      <c r="D56" s="12" t="n">
        <v>0</v>
      </c>
      <c r="E56" s="12" t="n">
        <v>1</v>
      </c>
      <c r="F56" s="12" t="n">
        <v>0</v>
      </c>
      <c r="G56" s="12" t="n">
        <v>0</v>
      </c>
      <c r="H56" s="12" t="n">
        <v>1</v>
      </c>
      <c r="I56" s="12" t="n">
        <v>0</v>
      </c>
      <c r="J56" s="13"/>
      <c r="K56" s="12" t="n">
        <v>1</v>
      </c>
      <c r="N56" s="12" t="n">
        <v>1</v>
      </c>
      <c r="P56" s="12" t="n">
        <v>1</v>
      </c>
      <c r="T56" s="12" t="n">
        <v>1</v>
      </c>
      <c r="X56" s="13"/>
      <c r="Y56" s="12" t="n">
        <f aca="false">COUNT(K56:W56)</f>
        <v>4</v>
      </c>
      <c r="AD56" s="12" t="n">
        <v>53</v>
      </c>
      <c r="AF56" s="12" t="n">
        <v>0</v>
      </c>
      <c r="AG56" s="12" t="n">
        <v>1</v>
      </c>
      <c r="AH56" s="12" t="n">
        <v>0</v>
      </c>
      <c r="AI56" s="12" t="n">
        <v>1</v>
      </c>
      <c r="AJ56" s="12" t="n">
        <v>0</v>
      </c>
      <c r="AK56" s="12" t="n">
        <v>0</v>
      </c>
      <c r="AL56" s="13"/>
      <c r="AM56" s="12" t="n">
        <v>1</v>
      </c>
      <c r="AN56" s="12" t="n">
        <v>1</v>
      </c>
      <c r="AR56" s="12" t="n">
        <v>1</v>
      </c>
      <c r="AV56" s="12" t="n">
        <v>1</v>
      </c>
      <c r="AZ56" s="13"/>
      <c r="BA56" s="12" t="n">
        <f aca="false">COUNT(AM56:AY56)</f>
        <v>4</v>
      </c>
    </row>
    <row r="57" customFormat="false" ht="18.3" hidden="false" customHeight="true" outlineLevel="0" collapsed="false">
      <c r="B57" s="12" t="n">
        <v>53</v>
      </c>
      <c r="D57" s="12" t="n">
        <v>0</v>
      </c>
      <c r="E57" s="12" t="n">
        <v>1</v>
      </c>
      <c r="F57" s="12" t="n">
        <v>0</v>
      </c>
      <c r="G57" s="12" t="n">
        <v>1</v>
      </c>
      <c r="H57" s="12" t="n">
        <v>0</v>
      </c>
      <c r="I57" s="12" t="n">
        <v>0</v>
      </c>
      <c r="J57" s="13"/>
      <c r="K57" s="12" t="n">
        <v>1</v>
      </c>
      <c r="L57" s="12" t="n">
        <v>1</v>
      </c>
      <c r="P57" s="12" t="n">
        <v>1</v>
      </c>
      <c r="T57" s="12" t="n">
        <v>1</v>
      </c>
      <c r="X57" s="13"/>
      <c r="Y57" s="12" t="n">
        <f aca="false">COUNT(K57:W57)</f>
        <v>4</v>
      </c>
    </row>
    <row r="58" customFormat="false" ht="18.3" hidden="false" customHeight="true" outlineLevel="0" collapsed="false">
      <c r="B58" s="12" t="n">
        <v>54</v>
      </c>
      <c r="D58" s="12" t="n">
        <v>0</v>
      </c>
      <c r="E58" s="12" t="n">
        <v>1</v>
      </c>
      <c r="F58" s="12" t="n">
        <v>0</v>
      </c>
      <c r="G58" s="12" t="n">
        <v>0</v>
      </c>
      <c r="H58" s="12" t="n">
        <v>0</v>
      </c>
      <c r="I58" s="12" t="n">
        <v>0</v>
      </c>
      <c r="J58" s="13"/>
      <c r="K58" s="12" t="n">
        <v>1</v>
      </c>
      <c r="P58" s="12" t="n">
        <v>1</v>
      </c>
      <c r="X58" s="13"/>
      <c r="Y58" s="12" t="n">
        <f aca="false">COUNT(K58:W58)</f>
        <v>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6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B7" activeCellId="0" sqref="B7"/>
    </sheetView>
  </sheetViews>
  <sheetFormatPr defaultColWidth="3.19921875" defaultRowHeight="18.3" zeroHeight="false" outlineLevelRow="0" outlineLevelCol="0"/>
  <cols>
    <col collapsed="false" customWidth="true" hidden="false" outlineLevel="0" max="1" min="1" style="12" width="10.84"/>
    <col collapsed="false" customWidth="true" hidden="false" outlineLevel="0" max="2" min="2" style="12" width="5.56"/>
    <col collapsed="false" customWidth="true" hidden="false" outlineLevel="0" max="10" min="3" style="12" width="3.89"/>
    <col collapsed="false" customWidth="true" hidden="false" outlineLevel="0" max="21" min="11" style="12" width="6.42"/>
    <col collapsed="false" customWidth="true" hidden="false" outlineLevel="0" max="22" min="22" style="12" width="7.81"/>
    <col collapsed="false" customWidth="true" hidden="false" outlineLevel="0" max="23" min="23" style="12" width="6.42"/>
    <col collapsed="false" customWidth="true" hidden="false" outlineLevel="0" max="25" min="24" style="12" width="3.89"/>
    <col collapsed="false" customWidth="true" hidden="false" outlineLevel="0" max="39" min="27" style="0" width="6.11"/>
    <col collapsed="false" customWidth="true" hidden="false" outlineLevel="0" max="1024" min="792" style="0" width="11.52"/>
  </cols>
  <sheetData>
    <row r="1" customFormat="false" ht="18.3" hidden="false" customHeight="true" outlineLevel="0" collapsed="false">
      <c r="A1" s="12" t="s">
        <v>85</v>
      </c>
      <c r="B1" s="12" t="n">
        <v>7</v>
      </c>
      <c r="C1" s="12" t="n">
        <v>6</v>
      </c>
      <c r="D1" s="12" t="n">
        <v>5</v>
      </c>
      <c r="E1" s="12" t="n">
        <v>4</v>
      </c>
      <c r="F1" s="12" t="n">
        <v>3</v>
      </c>
      <c r="G1" s="12" t="n">
        <v>2</v>
      </c>
    </row>
    <row r="2" customFormat="false" ht="18.3" hidden="false" customHeight="true" outlineLevel="0" collapsed="false">
      <c r="A2" s="12" t="s">
        <v>86</v>
      </c>
      <c r="B2" s="12" t="n">
        <v>14</v>
      </c>
      <c r="C2" s="12" t="n">
        <v>18</v>
      </c>
      <c r="D2" s="12" t="n">
        <v>5</v>
      </c>
      <c r="E2" s="12" t="n">
        <v>12</v>
      </c>
      <c r="F2" s="12" t="n">
        <v>3</v>
      </c>
      <c r="G2" s="12" t="n">
        <v>2</v>
      </c>
      <c r="P2" s="10" t="s">
        <v>87</v>
      </c>
    </row>
    <row r="3" customFormat="false" ht="18.3" hidden="false" customHeight="true" outlineLevel="0" collapsed="false">
      <c r="P3" s="10"/>
    </row>
    <row r="4" customFormat="false" ht="18.3" hidden="false" customHeight="true" outlineLevel="0" collapsed="false">
      <c r="P4" s="10"/>
    </row>
    <row r="5" customFormat="false" ht="18.3" hidden="false" customHeight="true" outlineLevel="0" collapsed="false">
      <c r="B5" s="0"/>
      <c r="K5" s="12" t="n">
        <v>0.5</v>
      </c>
      <c r="L5" s="12" t="n">
        <v>0.0833333333333333</v>
      </c>
      <c r="M5" s="12" t="n">
        <v>0.666666666666667</v>
      </c>
      <c r="N5" s="12" t="n">
        <v>0.25</v>
      </c>
      <c r="O5" s="12" t="n">
        <v>0.833333333333333</v>
      </c>
      <c r="P5" s="12" t="n">
        <v>0.416666666666667</v>
      </c>
      <c r="Q5" s="12" t="n">
        <v>0</v>
      </c>
      <c r="R5" s="12" t="n">
        <v>0.583333333333333</v>
      </c>
      <c r="S5" s="12" t="n">
        <v>0.166666666666667</v>
      </c>
      <c r="T5" s="12" t="n">
        <v>0.75</v>
      </c>
      <c r="U5" s="12" t="n">
        <v>0.333333333333333</v>
      </c>
      <c r="V5" s="12" t="n">
        <v>0.916666666666667</v>
      </c>
      <c r="W5" s="12" t="n">
        <v>0.5</v>
      </c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</row>
    <row r="6" customFormat="false" ht="18.3" hidden="false" customHeight="true" outlineLevel="0" collapsed="false">
      <c r="B6" s="10" t="s">
        <v>95</v>
      </c>
      <c r="D6" s="10" t="s">
        <v>96</v>
      </c>
      <c r="E6" s="10" t="s">
        <v>97</v>
      </c>
      <c r="F6" s="10" t="s">
        <v>98</v>
      </c>
      <c r="G6" s="10" t="s">
        <v>99</v>
      </c>
      <c r="H6" s="10" t="s">
        <v>100</v>
      </c>
      <c r="I6" s="10" t="s">
        <v>101</v>
      </c>
      <c r="J6" s="13"/>
      <c r="K6" s="10" t="s">
        <v>105</v>
      </c>
      <c r="L6" s="10" t="s">
        <v>102</v>
      </c>
      <c r="M6" s="10" t="s">
        <v>106</v>
      </c>
      <c r="N6" s="10" t="s">
        <v>103</v>
      </c>
      <c r="O6" s="10" t="s">
        <v>107</v>
      </c>
      <c r="P6" s="10" t="n">
        <v>4</v>
      </c>
      <c r="Q6" s="10" t="n">
        <v>1</v>
      </c>
      <c r="R6" s="10" t="n">
        <v>5</v>
      </c>
      <c r="S6" s="10" t="n">
        <v>2</v>
      </c>
      <c r="T6" s="10" t="n">
        <v>6</v>
      </c>
      <c r="U6" s="10" t="n">
        <v>3</v>
      </c>
      <c r="V6" s="10" t="n">
        <v>7</v>
      </c>
      <c r="W6" s="10" t="s">
        <v>104</v>
      </c>
      <c r="X6" s="13"/>
      <c r="Y6" s="10" t="s">
        <v>108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</row>
    <row r="7" customFormat="false" ht="18.3" hidden="false" customHeight="true" outlineLevel="0" collapsed="false">
      <c r="B7" s="12" t="n">
        <v>1</v>
      </c>
      <c r="D7" s="12" t="n">
        <v>3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1</v>
      </c>
      <c r="J7" s="13"/>
      <c r="Q7" s="14" t="n">
        <v>1</v>
      </c>
      <c r="R7" s="15" t="n">
        <v>1</v>
      </c>
      <c r="S7" s="15" t="n">
        <v>1</v>
      </c>
      <c r="T7" s="15" t="n">
        <v>1</v>
      </c>
      <c r="U7" s="15" t="n">
        <v>1</v>
      </c>
      <c r="V7" s="15" t="n">
        <v>1</v>
      </c>
      <c r="W7" s="16" t="n">
        <v>1</v>
      </c>
      <c r="X7" s="13"/>
      <c r="Y7" s="12" t="n">
        <f aca="false">COUNT(K7:W7)</f>
        <v>7</v>
      </c>
    </row>
    <row r="8" customFormat="false" ht="18.3" hidden="false" customHeight="true" outlineLevel="0" collapsed="false">
      <c r="B8" s="12" t="n">
        <v>2</v>
      </c>
      <c r="D8" s="12" t="n">
        <v>6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3"/>
      <c r="Q8" s="17" t="n">
        <v>1</v>
      </c>
      <c r="R8" s="12" t="n">
        <v>1</v>
      </c>
      <c r="S8" s="12" t="n">
        <v>1</v>
      </c>
      <c r="T8" s="12" t="n">
        <v>1</v>
      </c>
      <c r="U8" s="12" t="n">
        <v>1</v>
      </c>
      <c r="V8" s="12" t="n">
        <v>1</v>
      </c>
      <c r="W8" s="18" t="n">
        <v>1</v>
      </c>
      <c r="X8" s="13"/>
      <c r="Y8" s="12" t="n">
        <f aca="false">COUNT(K8:W8)</f>
        <v>7</v>
      </c>
    </row>
    <row r="9" customFormat="false" ht="18.3" hidden="false" customHeight="true" outlineLevel="0" collapsed="false">
      <c r="B9" s="12" t="n">
        <v>3</v>
      </c>
      <c r="D9" s="12" t="n">
        <v>2</v>
      </c>
      <c r="E9" s="12" t="n">
        <v>0</v>
      </c>
      <c r="F9" s="12" t="n">
        <v>1</v>
      </c>
      <c r="G9" s="12" t="n">
        <v>0</v>
      </c>
      <c r="H9" s="12" t="n">
        <v>0</v>
      </c>
      <c r="I9" s="12" t="n">
        <v>0</v>
      </c>
      <c r="J9" s="13"/>
      <c r="Q9" s="19" t="n">
        <v>1</v>
      </c>
      <c r="R9" s="20" t="n">
        <v>1</v>
      </c>
      <c r="S9" s="20" t="n">
        <v>1</v>
      </c>
      <c r="T9" s="20"/>
      <c r="U9" s="20" t="n">
        <v>1</v>
      </c>
      <c r="V9" s="20" t="n">
        <v>1</v>
      </c>
      <c r="W9" s="21" t="n">
        <v>1</v>
      </c>
      <c r="X9" s="13"/>
      <c r="Y9" s="12" t="n">
        <f aca="false">COUNT(K9:W9)</f>
        <v>6</v>
      </c>
    </row>
    <row r="10" customFormat="false" ht="18.3" hidden="false" customHeight="true" outlineLevel="0" collapsed="false">
      <c r="B10" s="12" t="n">
        <v>4</v>
      </c>
      <c r="D10" s="12" t="n">
        <v>2</v>
      </c>
      <c r="E10" s="12" t="n">
        <v>1</v>
      </c>
      <c r="F10" s="12" t="n">
        <v>0</v>
      </c>
      <c r="G10" s="12" t="n">
        <v>0</v>
      </c>
      <c r="H10" s="12" t="n">
        <v>0</v>
      </c>
      <c r="I10" s="12" t="n">
        <v>1</v>
      </c>
      <c r="J10" s="13"/>
      <c r="P10" s="14" t="n">
        <v>1</v>
      </c>
      <c r="Q10" s="15" t="n">
        <v>1</v>
      </c>
      <c r="R10" s="15" t="n">
        <v>1</v>
      </c>
      <c r="S10" s="15" t="n">
        <v>1</v>
      </c>
      <c r="T10" s="15" t="n">
        <v>1</v>
      </c>
      <c r="U10" s="15" t="n">
        <v>1</v>
      </c>
      <c r="V10" s="16" t="n">
        <v>1</v>
      </c>
      <c r="X10" s="13"/>
      <c r="Y10" s="12" t="n">
        <f aca="false">COUNT(K10:W10)</f>
        <v>7</v>
      </c>
    </row>
    <row r="11" customFormat="false" ht="18.3" hidden="false" customHeight="true" outlineLevel="0" collapsed="false">
      <c r="B11" s="12" t="n">
        <v>5</v>
      </c>
      <c r="D11" s="12" t="n">
        <v>5</v>
      </c>
      <c r="E11" s="12" t="n">
        <v>1</v>
      </c>
      <c r="F11" s="12" t="n">
        <v>0</v>
      </c>
      <c r="G11" s="12" t="n">
        <v>0</v>
      </c>
      <c r="H11" s="12" t="n">
        <v>0</v>
      </c>
      <c r="I11" s="12" t="n">
        <v>0</v>
      </c>
      <c r="J11" s="13"/>
      <c r="P11" s="17" t="n">
        <v>1</v>
      </c>
      <c r="Q11" s="12" t="n">
        <v>1</v>
      </c>
      <c r="R11" s="12" t="n">
        <v>1</v>
      </c>
      <c r="S11" s="12" t="n">
        <v>1</v>
      </c>
      <c r="T11" s="12" t="n">
        <v>1</v>
      </c>
      <c r="U11" s="12" t="n">
        <v>1</v>
      </c>
      <c r="V11" s="18" t="n">
        <v>1</v>
      </c>
      <c r="X11" s="13"/>
      <c r="Y11" s="12" t="n">
        <f aca="false">COUNT(K11:W11)</f>
        <v>7</v>
      </c>
    </row>
    <row r="12" customFormat="false" ht="18.3" hidden="false" customHeight="true" outlineLevel="0" collapsed="false">
      <c r="B12" s="12" t="n">
        <v>6</v>
      </c>
      <c r="D12" s="12" t="n">
        <v>2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1</v>
      </c>
      <c r="J12" s="13"/>
      <c r="P12" s="17"/>
      <c r="Q12" s="12" t="n">
        <v>1</v>
      </c>
      <c r="R12" s="12" t="n">
        <v>1</v>
      </c>
      <c r="S12" s="12" t="n">
        <v>1</v>
      </c>
      <c r="T12" s="12" t="n">
        <v>1</v>
      </c>
      <c r="U12" s="12" t="n">
        <v>1</v>
      </c>
      <c r="V12" s="18" t="n">
        <v>1</v>
      </c>
      <c r="X12" s="13"/>
      <c r="Y12" s="12" t="n">
        <f aca="false">COUNT(K12:W12)</f>
        <v>6</v>
      </c>
    </row>
    <row r="13" customFormat="false" ht="18.3" hidden="false" customHeight="true" outlineLevel="0" collapsed="false">
      <c r="B13" s="12" t="n">
        <v>7</v>
      </c>
      <c r="D13" s="12" t="n">
        <v>5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3"/>
      <c r="P13" s="17"/>
      <c r="Q13" s="12" t="n">
        <v>1</v>
      </c>
      <c r="R13" s="12" t="n">
        <v>1</v>
      </c>
      <c r="S13" s="12" t="n">
        <v>1</v>
      </c>
      <c r="T13" s="12" t="n">
        <v>1</v>
      </c>
      <c r="U13" s="12" t="n">
        <v>1</v>
      </c>
      <c r="V13" s="18" t="n">
        <v>1</v>
      </c>
      <c r="X13" s="13"/>
      <c r="Y13" s="12" t="n">
        <f aca="false">COUNT(K13:W13)</f>
        <v>6</v>
      </c>
    </row>
    <row r="14" customFormat="false" ht="18.3" hidden="false" customHeight="true" outlineLevel="0" collapsed="false">
      <c r="B14" s="12" t="n">
        <v>8</v>
      </c>
      <c r="D14" s="12" t="n">
        <v>1</v>
      </c>
      <c r="E14" s="12" t="n">
        <v>1</v>
      </c>
      <c r="F14" s="12" t="n">
        <v>1</v>
      </c>
      <c r="G14" s="12" t="n">
        <v>0</v>
      </c>
      <c r="H14" s="12" t="n">
        <v>0</v>
      </c>
      <c r="I14" s="12" t="n">
        <v>0</v>
      </c>
      <c r="J14" s="13"/>
      <c r="P14" s="17" t="n">
        <v>1</v>
      </c>
      <c r="Q14" s="12" t="n">
        <v>1</v>
      </c>
      <c r="R14" s="12" t="n">
        <v>1</v>
      </c>
      <c r="T14" s="12" t="n">
        <v>1</v>
      </c>
      <c r="U14" s="12" t="n">
        <v>1</v>
      </c>
      <c r="V14" s="18" t="n">
        <v>1</v>
      </c>
      <c r="X14" s="13"/>
      <c r="Y14" s="12" t="n">
        <f aca="false">COUNT(K14:W14)</f>
        <v>6</v>
      </c>
    </row>
    <row r="15" customFormat="false" ht="18.3" hidden="false" customHeight="true" outlineLevel="0" collapsed="false">
      <c r="B15" s="12" t="n">
        <v>9</v>
      </c>
      <c r="D15" s="12" t="n">
        <v>1</v>
      </c>
      <c r="E15" s="12" t="n">
        <v>0</v>
      </c>
      <c r="F15" s="12" t="n">
        <v>1</v>
      </c>
      <c r="G15" s="12" t="n">
        <v>0</v>
      </c>
      <c r="H15" s="12" t="n">
        <v>0</v>
      </c>
      <c r="I15" s="12" t="n">
        <v>0</v>
      </c>
      <c r="J15" s="13"/>
      <c r="P15" s="19"/>
      <c r="Q15" s="20" t="n">
        <v>1</v>
      </c>
      <c r="R15" s="20" t="n">
        <v>1</v>
      </c>
      <c r="S15" s="20"/>
      <c r="T15" s="20"/>
      <c r="U15" s="20" t="n">
        <v>1</v>
      </c>
      <c r="V15" s="21" t="n">
        <v>1</v>
      </c>
      <c r="X15" s="13"/>
      <c r="Y15" s="12" t="n">
        <f aca="false">COUNT(K15:W15)</f>
        <v>4</v>
      </c>
    </row>
    <row r="16" customFormat="false" ht="18.3" hidden="false" customHeight="true" outlineLevel="0" collapsed="false">
      <c r="B16" s="12" t="n">
        <v>10</v>
      </c>
      <c r="D16" s="12" t="n">
        <v>1</v>
      </c>
      <c r="E16" s="12" t="n">
        <v>2</v>
      </c>
      <c r="F16" s="12" t="n">
        <v>0</v>
      </c>
      <c r="G16" s="12" t="n">
        <v>0</v>
      </c>
      <c r="H16" s="12" t="n">
        <v>0</v>
      </c>
      <c r="I16" s="12" t="n">
        <v>1</v>
      </c>
      <c r="J16" s="13"/>
      <c r="O16" s="14" t="n">
        <v>1</v>
      </c>
      <c r="P16" s="15" t="n">
        <v>1</v>
      </c>
      <c r="Q16" s="15" t="n">
        <v>1</v>
      </c>
      <c r="R16" s="15" t="n">
        <v>1</v>
      </c>
      <c r="S16" s="15" t="n">
        <v>1</v>
      </c>
      <c r="T16" s="15" t="n">
        <v>1</v>
      </c>
      <c r="U16" s="16" t="n">
        <v>1</v>
      </c>
      <c r="X16" s="13"/>
      <c r="Y16" s="12" t="n">
        <f aca="false">COUNT(K16:W16)</f>
        <v>7</v>
      </c>
    </row>
    <row r="17" customFormat="false" ht="18.3" hidden="false" customHeight="true" outlineLevel="0" collapsed="false">
      <c r="B17" s="12" t="n">
        <v>11</v>
      </c>
      <c r="D17" s="12" t="n">
        <v>4</v>
      </c>
      <c r="E17" s="12" t="n">
        <v>2</v>
      </c>
      <c r="F17" s="12" t="n">
        <v>0</v>
      </c>
      <c r="G17" s="12" t="n">
        <v>0</v>
      </c>
      <c r="H17" s="12" t="n">
        <v>0</v>
      </c>
      <c r="I17" s="12" t="n">
        <v>0</v>
      </c>
      <c r="J17" s="13"/>
      <c r="O17" s="17" t="n">
        <v>1</v>
      </c>
      <c r="P17" s="12" t="n">
        <v>1</v>
      </c>
      <c r="Q17" s="12" t="n">
        <v>1</v>
      </c>
      <c r="R17" s="12" t="n">
        <v>1</v>
      </c>
      <c r="S17" s="12" t="n">
        <v>1</v>
      </c>
      <c r="T17" s="12" t="n">
        <v>1</v>
      </c>
      <c r="U17" s="18" t="n">
        <v>1</v>
      </c>
      <c r="X17" s="13"/>
      <c r="Y17" s="12" t="n">
        <f aca="false">COUNT(K17:W17)</f>
        <v>7</v>
      </c>
    </row>
    <row r="18" customFormat="false" ht="18.3" hidden="false" customHeight="true" outlineLevel="0" collapsed="false">
      <c r="B18" s="12" t="n">
        <v>12</v>
      </c>
      <c r="D18" s="12" t="n">
        <v>1</v>
      </c>
      <c r="E18" s="12" t="n">
        <v>1</v>
      </c>
      <c r="F18" s="12" t="n">
        <v>0</v>
      </c>
      <c r="G18" s="12" t="n">
        <v>0</v>
      </c>
      <c r="H18" s="12" t="n">
        <v>0</v>
      </c>
      <c r="I18" s="12" t="n">
        <v>1</v>
      </c>
      <c r="J18" s="13"/>
      <c r="O18" s="17"/>
      <c r="P18" s="12" t="n">
        <v>1</v>
      </c>
      <c r="Q18" s="12" t="n">
        <v>1</v>
      </c>
      <c r="R18" s="12" t="n">
        <v>1</v>
      </c>
      <c r="S18" s="12" t="n">
        <v>1</v>
      </c>
      <c r="T18" s="12" t="n">
        <v>1</v>
      </c>
      <c r="U18" s="18" t="n">
        <v>1</v>
      </c>
      <c r="X18" s="13"/>
      <c r="Y18" s="12" t="n">
        <f aca="false">COUNT(K18:W18)</f>
        <v>6</v>
      </c>
    </row>
    <row r="19" customFormat="false" ht="18.3" hidden="false" customHeight="true" outlineLevel="0" collapsed="false">
      <c r="B19" s="12" t="n">
        <v>13</v>
      </c>
      <c r="D19" s="12" t="n">
        <v>4</v>
      </c>
      <c r="E19" s="12" t="n">
        <v>1</v>
      </c>
      <c r="F19" s="12" t="n">
        <v>0</v>
      </c>
      <c r="G19" s="12" t="n">
        <v>0</v>
      </c>
      <c r="H19" s="12" t="n">
        <v>0</v>
      </c>
      <c r="I19" s="12" t="n">
        <v>0</v>
      </c>
      <c r="J19" s="13"/>
      <c r="O19" s="17"/>
      <c r="P19" s="12" t="n">
        <v>1</v>
      </c>
      <c r="Q19" s="12" t="n">
        <v>1</v>
      </c>
      <c r="R19" s="12" t="n">
        <v>1</v>
      </c>
      <c r="S19" s="12" t="n">
        <v>1</v>
      </c>
      <c r="T19" s="12" t="n">
        <v>1</v>
      </c>
      <c r="U19" s="18" t="n">
        <v>1</v>
      </c>
      <c r="X19" s="13"/>
      <c r="Y19" s="12" t="n">
        <f aca="false">COUNT(K19:W19)</f>
        <v>6</v>
      </c>
    </row>
    <row r="20" customFormat="false" ht="18.3" hidden="false" customHeight="true" outlineLevel="0" collapsed="false">
      <c r="B20" s="12" t="n">
        <v>14</v>
      </c>
      <c r="D20" s="12" t="n">
        <v>3</v>
      </c>
      <c r="E20" s="12" t="n">
        <v>2</v>
      </c>
      <c r="F20" s="12" t="n">
        <v>0</v>
      </c>
      <c r="G20" s="12" t="n">
        <v>0</v>
      </c>
      <c r="H20" s="12" t="n">
        <v>0</v>
      </c>
      <c r="I20" s="12" t="n">
        <v>0</v>
      </c>
      <c r="J20" s="13"/>
      <c r="O20" s="17" t="n">
        <v>1</v>
      </c>
      <c r="Q20" s="12" t="n">
        <v>1</v>
      </c>
      <c r="R20" s="12" t="n">
        <v>1</v>
      </c>
      <c r="S20" s="12" t="n">
        <v>1</v>
      </c>
      <c r="T20" s="12" t="n">
        <v>1</v>
      </c>
      <c r="U20" s="18" t="n">
        <v>1</v>
      </c>
      <c r="X20" s="13"/>
      <c r="Y20" s="12" t="n">
        <f aca="false">COUNT(K20:W20)</f>
        <v>6</v>
      </c>
    </row>
    <row r="21" customFormat="false" ht="18.3" hidden="false" customHeight="true" outlineLevel="0" collapsed="false">
      <c r="B21" s="12" t="n">
        <v>15</v>
      </c>
      <c r="D21" s="12" t="n">
        <v>4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3"/>
      <c r="O21" s="17"/>
      <c r="Q21" s="12" t="n">
        <v>1</v>
      </c>
      <c r="R21" s="12" t="n">
        <v>1</v>
      </c>
      <c r="S21" s="12" t="n">
        <v>1</v>
      </c>
      <c r="T21" s="12" t="n">
        <v>1</v>
      </c>
      <c r="U21" s="18" t="n">
        <v>1</v>
      </c>
      <c r="X21" s="13"/>
      <c r="Y21" s="12" t="n">
        <f aca="false">COUNT(K21:W21)</f>
        <v>5</v>
      </c>
    </row>
    <row r="22" customFormat="false" ht="18.3" hidden="false" customHeight="true" outlineLevel="0" collapsed="false">
      <c r="B22" s="12" t="n">
        <v>16</v>
      </c>
      <c r="D22" s="12" t="n">
        <v>0</v>
      </c>
      <c r="E22" s="12" t="n">
        <v>2</v>
      </c>
      <c r="F22" s="12" t="n">
        <v>1</v>
      </c>
      <c r="G22" s="12" t="n">
        <v>0</v>
      </c>
      <c r="H22" s="12" t="n">
        <v>0</v>
      </c>
      <c r="I22" s="12" t="n">
        <v>0</v>
      </c>
      <c r="J22" s="13"/>
      <c r="O22" s="17" t="n">
        <v>1</v>
      </c>
      <c r="P22" s="12" t="n">
        <v>1</v>
      </c>
      <c r="Q22" s="12" t="n">
        <v>1</v>
      </c>
      <c r="S22" s="12" t="n">
        <v>1</v>
      </c>
      <c r="T22" s="12" t="n">
        <v>1</v>
      </c>
      <c r="U22" s="18" t="n">
        <v>1</v>
      </c>
      <c r="X22" s="13"/>
      <c r="Y22" s="12" t="n">
        <f aca="false">COUNT(K22:W22)</f>
        <v>6</v>
      </c>
    </row>
    <row r="23" customFormat="false" ht="18.3" hidden="false" customHeight="true" outlineLevel="0" collapsed="false">
      <c r="B23" s="12" t="n">
        <v>17</v>
      </c>
      <c r="D23" s="12" t="n">
        <v>1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1</v>
      </c>
      <c r="J23" s="13"/>
      <c r="O23" s="17"/>
      <c r="Q23" s="12" t="n">
        <v>1</v>
      </c>
      <c r="R23" s="12" t="n">
        <v>1</v>
      </c>
      <c r="T23" s="12" t="n">
        <v>1</v>
      </c>
      <c r="U23" s="18" t="n">
        <v>1</v>
      </c>
      <c r="X23" s="13"/>
      <c r="Y23" s="12" t="n">
        <f aca="false">COUNT(K23:W23)</f>
        <v>4</v>
      </c>
    </row>
    <row r="24" customFormat="false" ht="18.3" hidden="false" customHeight="true" outlineLevel="0" collapsed="false">
      <c r="B24" s="12" t="n">
        <v>18</v>
      </c>
      <c r="D24" s="12" t="n">
        <v>0</v>
      </c>
      <c r="E24" s="12" t="n">
        <v>1</v>
      </c>
      <c r="F24" s="12" t="n">
        <v>1</v>
      </c>
      <c r="G24" s="12" t="n">
        <v>0</v>
      </c>
      <c r="H24" s="12" t="n">
        <v>0</v>
      </c>
      <c r="I24" s="12" t="n">
        <v>0</v>
      </c>
      <c r="J24" s="13"/>
      <c r="O24" s="19"/>
      <c r="P24" s="20" t="n">
        <v>1</v>
      </c>
      <c r="Q24" s="20" t="n">
        <v>1</v>
      </c>
      <c r="R24" s="20"/>
      <c r="S24" s="20"/>
      <c r="T24" s="20" t="n">
        <v>1</v>
      </c>
      <c r="U24" s="21" t="n">
        <v>1</v>
      </c>
      <c r="X24" s="13"/>
      <c r="Y24" s="12" t="n">
        <f aca="false">COUNT(K24:W24)</f>
        <v>4</v>
      </c>
    </row>
    <row r="25" customFormat="false" ht="18.3" hidden="false" customHeight="true" outlineLevel="0" collapsed="false">
      <c r="B25" s="12" t="n">
        <v>19</v>
      </c>
      <c r="D25" s="12" t="n">
        <v>3</v>
      </c>
      <c r="E25" s="12" t="n">
        <v>0</v>
      </c>
      <c r="F25" s="12" t="n">
        <v>0</v>
      </c>
      <c r="G25" s="12" t="n">
        <v>0</v>
      </c>
      <c r="H25" s="12" t="n">
        <v>1</v>
      </c>
      <c r="I25" s="12" t="n">
        <v>0</v>
      </c>
      <c r="J25" s="13"/>
      <c r="N25" s="14" t="n">
        <v>1</v>
      </c>
      <c r="O25" s="15" t="n">
        <v>1</v>
      </c>
      <c r="P25" s="15" t="n">
        <v>1</v>
      </c>
      <c r="Q25" s="15" t="n">
        <v>1</v>
      </c>
      <c r="R25" s="15" t="n">
        <v>1</v>
      </c>
      <c r="S25" s="15" t="n">
        <v>1</v>
      </c>
      <c r="T25" s="16" t="n">
        <v>1</v>
      </c>
      <c r="X25" s="13"/>
      <c r="Y25" s="12" t="n">
        <f aca="false">COUNT(K25:W25)</f>
        <v>7</v>
      </c>
    </row>
    <row r="26" customFormat="false" ht="18.3" hidden="false" customHeight="true" outlineLevel="0" collapsed="false">
      <c r="B26" s="12" t="n">
        <v>20</v>
      </c>
      <c r="D26" s="12" t="n">
        <v>0</v>
      </c>
      <c r="E26" s="12" t="n">
        <v>3</v>
      </c>
      <c r="F26" s="12" t="n">
        <v>0</v>
      </c>
      <c r="G26" s="12" t="n">
        <v>0</v>
      </c>
      <c r="H26" s="12" t="n">
        <v>0</v>
      </c>
      <c r="I26" s="12" t="n">
        <v>1</v>
      </c>
      <c r="J26" s="13"/>
      <c r="N26" s="17" t="n">
        <v>1</v>
      </c>
      <c r="O26" s="12" t="n">
        <v>1</v>
      </c>
      <c r="P26" s="12" t="n">
        <v>1</v>
      </c>
      <c r="Q26" s="12" t="n">
        <v>1</v>
      </c>
      <c r="R26" s="12" t="n">
        <v>1</v>
      </c>
      <c r="S26" s="12" t="n">
        <v>1</v>
      </c>
      <c r="T26" s="18" t="n">
        <v>1</v>
      </c>
      <c r="X26" s="13"/>
      <c r="Y26" s="12" t="n">
        <f aca="false">COUNT(K26:W26)</f>
        <v>7</v>
      </c>
    </row>
    <row r="27" customFormat="false" ht="18.3" hidden="false" customHeight="true" outlineLevel="0" collapsed="false">
      <c r="B27" s="12" t="n">
        <v>21</v>
      </c>
      <c r="D27" s="12" t="n">
        <v>3</v>
      </c>
      <c r="E27" s="12" t="n">
        <v>3</v>
      </c>
      <c r="F27" s="12" t="n">
        <v>0</v>
      </c>
      <c r="G27" s="12" t="n">
        <v>0</v>
      </c>
      <c r="H27" s="12" t="n">
        <v>0</v>
      </c>
      <c r="I27" s="12" t="n">
        <v>0</v>
      </c>
      <c r="J27" s="13"/>
      <c r="N27" s="17" t="n">
        <v>1</v>
      </c>
      <c r="O27" s="12" t="n">
        <v>1</v>
      </c>
      <c r="P27" s="12" t="n">
        <v>1</v>
      </c>
      <c r="Q27" s="12" t="n">
        <v>1</v>
      </c>
      <c r="R27" s="12" t="n">
        <v>1</v>
      </c>
      <c r="S27" s="12" t="n">
        <v>1</v>
      </c>
      <c r="T27" s="18" t="n">
        <v>1</v>
      </c>
      <c r="X27" s="13"/>
      <c r="Y27" s="12" t="n">
        <f aca="false">COUNT(K27:W27)</f>
        <v>7</v>
      </c>
    </row>
    <row r="28" customFormat="false" ht="18.3" hidden="false" customHeight="true" outlineLevel="0" collapsed="false">
      <c r="B28" s="12" t="n">
        <v>22</v>
      </c>
      <c r="D28" s="12" t="n">
        <v>0</v>
      </c>
      <c r="E28" s="12" t="n">
        <v>2</v>
      </c>
      <c r="F28" s="12" t="n">
        <v>0</v>
      </c>
      <c r="G28" s="12" t="n">
        <v>0</v>
      </c>
      <c r="H28" s="12" t="n">
        <v>0</v>
      </c>
      <c r="I28" s="12" t="n">
        <v>1</v>
      </c>
      <c r="J28" s="13"/>
      <c r="N28" s="17"/>
      <c r="O28" s="12" t="n">
        <v>1</v>
      </c>
      <c r="P28" s="12" t="n">
        <v>1</v>
      </c>
      <c r="Q28" s="12" t="n">
        <v>1</v>
      </c>
      <c r="R28" s="12" t="n">
        <v>1</v>
      </c>
      <c r="S28" s="12" t="n">
        <v>1</v>
      </c>
      <c r="T28" s="18" t="n">
        <v>1</v>
      </c>
      <c r="X28" s="13"/>
      <c r="Y28" s="12" t="n">
        <f aca="false">COUNT(K28:W28)</f>
        <v>6</v>
      </c>
    </row>
    <row r="29" customFormat="false" ht="18.3" hidden="false" customHeight="true" outlineLevel="0" collapsed="false">
      <c r="B29" s="12" t="n">
        <v>23</v>
      </c>
      <c r="D29" s="12" t="n">
        <v>3</v>
      </c>
      <c r="E29" s="12" t="n">
        <v>1</v>
      </c>
      <c r="F29" s="12" t="n">
        <v>0</v>
      </c>
      <c r="G29" s="12" t="n">
        <v>0</v>
      </c>
      <c r="H29" s="12" t="n">
        <v>0</v>
      </c>
      <c r="I29" s="12" t="n">
        <v>0</v>
      </c>
      <c r="J29" s="13"/>
      <c r="N29" s="17"/>
      <c r="P29" s="12" t="n">
        <v>1</v>
      </c>
      <c r="Q29" s="12" t="n">
        <v>1</v>
      </c>
      <c r="R29" s="12" t="n">
        <v>1</v>
      </c>
      <c r="S29" s="12" t="n">
        <v>1</v>
      </c>
      <c r="T29" s="18" t="n">
        <v>1</v>
      </c>
      <c r="X29" s="13"/>
      <c r="Y29" s="12" t="n">
        <f aca="false">COUNT(K29:W29)</f>
        <v>5</v>
      </c>
    </row>
    <row r="30" customFormat="false" ht="18.3" hidden="false" customHeight="true" outlineLevel="0" collapsed="false">
      <c r="B30" s="12" t="n">
        <v>24</v>
      </c>
      <c r="D30" s="12" t="n">
        <v>3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3"/>
      <c r="N30" s="17"/>
      <c r="Q30" s="12" t="n">
        <v>1</v>
      </c>
      <c r="R30" s="12" t="n">
        <v>1</v>
      </c>
      <c r="S30" s="12" t="n">
        <v>1</v>
      </c>
      <c r="T30" s="18" t="n">
        <v>1</v>
      </c>
      <c r="X30" s="13"/>
      <c r="Y30" s="12" t="n">
        <f aca="false">COUNT(K30:W30)</f>
        <v>4</v>
      </c>
    </row>
    <row r="31" customFormat="false" ht="18.3" hidden="false" customHeight="true" outlineLevel="0" collapsed="false">
      <c r="B31" s="12" t="n">
        <v>25</v>
      </c>
      <c r="D31" s="12" t="n">
        <v>0</v>
      </c>
      <c r="E31" s="12" t="n">
        <v>1</v>
      </c>
      <c r="F31" s="12" t="n">
        <v>0</v>
      </c>
      <c r="G31" s="12" t="n">
        <v>0</v>
      </c>
      <c r="H31" s="12" t="n">
        <v>0</v>
      </c>
      <c r="I31" s="12" t="n">
        <v>1</v>
      </c>
      <c r="J31" s="13"/>
      <c r="N31" s="19"/>
      <c r="O31" s="20"/>
      <c r="P31" s="20" t="n">
        <v>1</v>
      </c>
      <c r="Q31" s="20" t="n">
        <v>1</v>
      </c>
      <c r="R31" s="20"/>
      <c r="S31" s="20" t="n">
        <v>1</v>
      </c>
      <c r="T31" s="21" t="n">
        <v>1</v>
      </c>
      <c r="X31" s="13"/>
      <c r="Y31" s="12" t="n">
        <f aca="false">COUNT(K31:W31)</f>
        <v>4</v>
      </c>
    </row>
    <row r="32" customFormat="false" ht="18.3" hidden="false" customHeight="true" outlineLevel="0" collapsed="false">
      <c r="B32" s="12" t="n">
        <v>26</v>
      </c>
      <c r="D32" s="12" t="n">
        <v>2</v>
      </c>
      <c r="E32" s="12" t="n">
        <v>1</v>
      </c>
      <c r="F32" s="12" t="n">
        <v>0</v>
      </c>
      <c r="G32" s="12" t="n">
        <v>0</v>
      </c>
      <c r="H32" s="12" t="n">
        <v>1</v>
      </c>
      <c r="I32" s="12" t="n">
        <v>0</v>
      </c>
      <c r="J32" s="13"/>
      <c r="M32" s="14" t="n">
        <v>1</v>
      </c>
      <c r="N32" s="15" t="n">
        <v>1</v>
      </c>
      <c r="O32" s="15" t="n">
        <v>1</v>
      </c>
      <c r="P32" s="15" t="n">
        <v>1</v>
      </c>
      <c r="Q32" s="15" t="n">
        <v>1</v>
      </c>
      <c r="R32" s="15" t="n">
        <v>1</v>
      </c>
      <c r="S32" s="16" t="n">
        <v>1</v>
      </c>
      <c r="X32" s="13"/>
      <c r="Y32" s="12" t="n">
        <f aca="false">COUNT(K32:W32)</f>
        <v>7</v>
      </c>
    </row>
    <row r="33" customFormat="false" ht="18.3" hidden="false" customHeight="true" outlineLevel="0" collapsed="false">
      <c r="B33" s="12" t="n">
        <v>27</v>
      </c>
      <c r="D33" s="12" t="n">
        <v>2</v>
      </c>
      <c r="E33" s="12" t="n">
        <v>4</v>
      </c>
      <c r="F33" s="12" t="n">
        <v>0</v>
      </c>
      <c r="G33" s="12" t="n">
        <v>0</v>
      </c>
      <c r="H33" s="12" t="n">
        <v>0</v>
      </c>
      <c r="I33" s="12" t="n">
        <v>0</v>
      </c>
      <c r="J33" s="13"/>
      <c r="M33" s="17" t="n">
        <v>1</v>
      </c>
      <c r="N33" s="12" t="n">
        <v>1</v>
      </c>
      <c r="O33" s="12" t="n">
        <v>1</v>
      </c>
      <c r="P33" s="12" t="n">
        <v>1</v>
      </c>
      <c r="Q33" s="12" t="n">
        <v>1</v>
      </c>
      <c r="R33" s="12" t="n">
        <v>1</v>
      </c>
      <c r="S33" s="18" t="n">
        <v>1</v>
      </c>
      <c r="X33" s="13"/>
      <c r="Y33" s="12" t="n">
        <f aca="false">COUNT(K33:W33)</f>
        <v>7</v>
      </c>
    </row>
    <row r="34" customFormat="false" ht="18.3" hidden="false" customHeight="true" outlineLevel="0" collapsed="false">
      <c r="B34" s="12" t="n">
        <v>28</v>
      </c>
      <c r="D34" s="12" t="n">
        <v>2</v>
      </c>
      <c r="E34" s="12" t="n">
        <v>0</v>
      </c>
      <c r="F34" s="12" t="n">
        <v>0</v>
      </c>
      <c r="G34" s="12" t="n">
        <v>0</v>
      </c>
      <c r="H34" s="12" t="n">
        <v>1</v>
      </c>
      <c r="I34" s="12" t="n">
        <v>0</v>
      </c>
      <c r="J34" s="13"/>
      <c r="M34" s="17"/>
      <c r="N34" s="12" t="n">
        <v>1</v>
      </c>
      <c r="O34" s="12" t="n">
        <v>1</v>
      </c>
      <c r="P34" s="12" t="n">
        <v>1</v>
      </c>
      <c r="Q34" s="12" t="n">
        <v>1</v>
      </c>
      <c r="R34" s="12" t="n">
        <v>1</v>
      </c>
      <c r="S34" s="18" t="n">
        <v>1</v>
      </c>
      <c r="X34" s="13"/>
      <c r="Y34" s="12" t="n">
        <f aca="false">COUNT(K34:W34)</f>
        <v>6</v>
      </c>
    </row>
    <row r="35" customFormat="false" ht="18.3" hidden="false" customHeight="true" outlineLevel="0" collapsed="false">
      <c r="B35" s="12" t="n">
        <v>29</v>
      </c>
      <c r="D35" s="12" t="n">
        <v>2</v>
      </c>
      <c r="E35" s="12" t="n">
        <v>3</v>
      </c>
      <c r="F35" s="12" t="n">
        <v>0</v>
      </c>
      <c r="G35" s="12" t="n">
        <v>0</v>
      </c>
      <c r="H35" s="12" t="n">
        <v>0</v>
      </c>
      <c r="I35" s="12" t="n">
        <v>0</v>
      </c>
      <c r="J35" s="13"/>
      <c r="M35" s="17"/>
      <c r="N35" s="12" t="n">
        <v>1</v>
      </c>
      <c r="O35" s="12" t="n">
        <v>1</v>
      </c>
      <c r="P35" s="12" t="n">
        <v>1</v>
      </c>
      <c r="Q35" s="12" t="n">
        <v>1</v>
      </c>
      <c r="R35" s="12" t="n">
        <v>1</v>
      </c>
      <c r="S35" s="18" t="n">
        <v>1</v>
      </c>
      <c r="X35" s="13"/>
      <c r="Y35" s="12" t="n">
        <f aca="false">COUNT(K35:W35)</f>
        <v>6</v>
      </c>
    </row>
    <row r="36" customFormat="false" ht="18.3" hidden="false" customHeight="true" outlineLevel="0" collapsed="false">
      <c r="B36" s="12" t="n">
        <v>30</v>
      </c>
      <c r="D36" s="12" t="n">
        <v>2</v>
      </c>
      <c r="E36" s="12" t="n">
        <v>2</v>
      </c>
      <c r="F36" s="12" t="n">
        <v>0</v>
      </c>
      <c r="G36" s="12" t="n">
        <v>0</v>
      </c>
      <c r="H36" s="12" t="n">
        <v>0</v>
      </c>
      <c r="I36" s="12" t="n">
        <v>0</v>
      </c>
      <c r="J36" s="13"/>
      <c r="M36" s="17"/>
      <c r="O36" s="12" t="n">
        <v>1</v>
      </c>
      <c r="P36" s="12" t="n">
        <v>1</v>
      </c>
      <c r="Q36" s="12" t="n">
        <v>1</v>
      </c>
      <c r="R36" s="12" t="n">
        <v>1</v>
      </c>
      <c r="S36" s="18" t="n">
        <v>1</v>
      </c>
      <c r="X36" s="13"/>
      <c r="Y36" s="12" t="n">
        <f aca="false">COUNT(K36:W36)</f>
        <v>5</v>
      </c>
    </row>
    <row r="37" customFormat="false" ht="18.3" hidden="false" customHeight="true" outlineLevel="0" collapsed="false">
      <c r="B37" s="12" t="n">
        <v>31</v>
      </c>
      <c r="D37" s="12" t="n">
        <v>2</v>
      </c>
      <c r="E37" s="12" t="n">
        <v>1</v>
      </c>
      <c r="F37" s="12" t="n">
        <v>0</v>
      </c>
      <c r="G37" s="12" t="n">
        <v>0</v>
      </c>
      <c r="H37" s="12" t="n">
        <v>0</v>
      </c>
      <c r="I37" s="12" t="n">
        <v>0</v>
      </c>
      <c r="J37" s="13"/>
      <c r="M37" s="17"/>
      <c r="P37" s="12" t="n">
        <v>1</v>
      </c>
      <c r="Q37" s="12" t="n">
        <v>1</v>
      </c>
      <c r="R37" s="12" t="n">
        <v>1</v>
      </c>
      <c r="S37" s="18" t="n">
        <v>1</v>
      </c>
      <c r="X37" s="13"/>
      <c r="Y37" s="12" t="n">
        <f aca="false">COUNT(K37:W37)</f>
        <v>4</v>
      </c>
    </row>
    <row r="38" customFormat="false" ht="18.3" hidden="false" customHeight="true" outlineLevel="0" collapsed="false">
      <c r="B38" s="12" t="n">
        <v>32</v>
      </c>
      <c r="D38" s="12" t="n">
        <v>2</v>
      </c>
      <c r="E38" s="12" t="n">
        <v>0</v>
      </c>
      <c r="F38" s="12" t="n">
        <v>0</v>
      </c>
      <c r="G38" s="12" t="n">
        <v>1</v>
      </c>
      <c r="H38" s="12" t="n">
        <v>0</v>
      </c>
      <c r="I38" s="12" t="n">
        <v>0</v>
      </c>
      <c r="J38" s="13"/>
      <c r="M38" s="17" t="n">
        <v>1</v>
      </c>
      <c r="N38" s="12" t="n">
        <v>1</v>
      </c>
      <c r="O38" s="12" t="n">
        <v>1</v>
      </c>
      <c r="Q38" s="12" t="n">
        <v>1</v>
      </c>
      <c r="R38" s="12" t="n">
        <v>1</v>
      </c>
      <c r="S38" s="18" t="n">
        <v>1</v>
      </c>
      <c r="X38" s="13"/>
      <c r="Y38" s="12" t="n">
        <f aca="false">COUNT(K38:W38)</f>
        <v>6</v>
      </c>
    </row>
    <row r="39" customFormat="false" ht="18.3" hidden="false" customHeight="true" outlineLevel="0" collapsed="false">
      <c r="B39" s="12" t="n">
        <v>33</v>
      </c>
      <c r="D39" s="12" t="n">
        <v>2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3"/>
      <c r="M39" s="19"/>
      <c r="N39" s="20"/>
      <c r="O39" s="20"/>
      <c r="P39" s="20"/>
      <c r="Q39" s="20" t="n">
        <v>1</v>
      </c>
      <c r="R39" s="20" t="n">
        <v>1</v>
      </c>
      <c r="S39" s="21" t="n">
        <v>1</v>
      </c>
      <c r="X39" s="13"/>
      <c r="Y39" s="12" t="n">
        <f aca="false">COUNT(K39:W39)</f>
        <v>3</v>
      </c>
    </row>
    <row r="40" customFormat="false" ht="18.3" hidden="false" customHeight="true" outlineLevel="0" collapsed="false">
      <c r="B40" s="12" t="n">
        <v>34</v>
      </c>
      <c r="D40" s="12" t="n">
        <v>1</v>
      </c>
      <c r="E40" s="12" t="n">
        <v>2</v>
      </c>
      <c r="F40" s="12" t="n">
        <v>0</v>
      </c>
      <c r="G40" s="12" t="n">
        <v>0</v>
      </c>
      <c r="H40" s="12" t="n">
        <v>1</v>
      </c>
      <c r="I40" s="12" t="n">
        <v>0</v>
      </c>
      <c r="J40" s="13"/>
      <c r="L40" s="14" t="n">
        <v>1</v>
      </c>
      <c r="M40" s="15" t="n">
        <v>1</v>
      </c>
      <c r="N40" s="15" t="n">
        <v>1</v>
      </c>
      <c r="O40" s="15" t="n">
        <v>1</v>
      </c>
      <c r="P40" s="15" t="n">
        <v>1</v>
      </c>
      <c r="Q40" s="15" t="n">
        <v>1</v>
      </c>
      <c r="R40" s="16" t="n">
        <v>1</v>
      </c>
      <c r="X40" s="13"/>
      <c r="Y40" s="12" t="n">
        <f aca="false">COUNT(K40:W40)</f>
        <v>7</v>
      </c>
    </row>
    <row r="41" customFormat="false" ht="18.3" hidden="false" customHeight="true" outlineLevel="0" collapsed="false">
      <c r="B41" s="12" t="n">
        <v>35</v>
      </c>
      <c r="D41" s="12" t="n">
        <v>1</v>
      </c>
      <c r="E41" s="12" t="n">
        <v>5</v>
      </c>
      <c r="F41" s="12" t="n">
        <v>0</v>
      </c>
      <c r="G41" s="12" t="n">
        <v>0</v>
      </c>
      <c r="H41" s="12" t="n">
        <v>0</v>
      </c>
      <c r="I41" s="12" t="n">
        <v>0</v>
      </c>
      <c r="J41" s="13"/>
      <c r="L41" s="17" t="n">
        <v>1</v>
      </c>
      <c r="M41" s="12" t="n">
        <v>1</v>
      </c>
      <c r="N41" s="12" t="n">
        <v>1</v>
      </c>
      <c r="O41" s="12" t="n">
        <v>1</v>
      </c>
      <c r="P41" s="12" t="n">
        <v>1</v>
      </c>
      <c r="Q41" s="12" t="n">
        <v>1</v>
      </c>
      <c r="R41" s="18" t="n">
        <v>1</v>
      </c>
      <c r="X41" s="13"/>
      <c r="Y41" s="12" t="n">
        <f aca="false">COUNT(K41:W41)</f>
        <v>7</v>
      </c>
    </row>
    <row r="42" customFormat="false" ht="18.3" hidden="false" customHeight="true" outlineLevel="0" collapsed="false">
      <c r="B42" s="12" t="n">
        <v>36</v>
      </c>
      <c r="D42" s="12" t="n">
        <v>1</v>
      </c>
      <c r="E42" s="12" t="n">
        <v>1</v>
      </c>
      <c r="F42" s="12" t="n">
        <v>0</v>
      </c>
      <c r="G42" s="12" t="n">
        <v>0</v>
      </c>
      <c r="H42" s="12" t="n">
        <v>1</v>
      </c>
      <c r="I42" s="12" t="n">
        <v>0</v>
      </c>
      <c r="J42" s="13"/>
      <c r="L42" s="17"/>
      <c r="M42" s="12" t="n">
        <v>1</v>
      </c>
      <c r="N42" s="12" t="n">
        <v>1</v>
      </c>
      <c r="O42" s="12" t="n">
        <v>1</v>
      </c>
      <c r="P42" s="12" t="n">
        <v>1</v>
      </c>
      <c r="Q42" s="12" t="n">
        <v>1</v>
      </c>
      <c r="R42" s="18" t="n">
        <v>1</v>
      </c>
      <c r="X42" s="13"/>
      <c r="Y42" s="12" t="n">
        <f aca="false">COUNT(K42:W42)</f>
        <v>6</v>
      </c>
    </row>
    <row r="43" customFormat="false" ht="18.3" hidden="false" customHeight="true" outlineLevel="0" collapsed="false">
      <c r="B43" s="12" t="n">
        <v>37</v>
      </c>
      <c r="D43" s="12" t="n">
        <v>1</v>
      </c>
      <c r="E43" s="12" t="n">
        <v>4</v>
      </c>
      <c r="F43" s="12" t="n">
        <v>0</v>
      </c>
      <c r="G43" s="12" t="n">
        <v>0</v>
      </c>
      <c r="H43" s="12" t="n">
        <v>0</v>
      </c>
      <c r="I43" s="12" t="n">
        <v>0</v>
      </c>
      <c r="J43" s="13"/>
      <c r="L43" s="17"/>
      <c r="M43" s="12" t="n">
        <v>1</v>
      </c>
      <c r="N43" s="12" t="n">
        <v>1</v>
      </c>
      <c r="O43" s="12" t="n">
        <v>1</v>
      </c>
      <c r="P43" s="12" t="n">
        <v>1</v>
      </c>
      <c r="Q43" s="12" t="n">
        <v>1</v>
      </c>
      <c r="R43" s="18" t="n">
        <v>1</v>
      </c>
      <c r="X43" s="13"/>
      <c r="Y43" s="12" t="n">
        <f aca="false">COUNT(K43:W43)</f>
        <v>6</v>
      </c>
    </row>
    <row r="44" customFormat="false" ht="18.3" hidden="false" customHeight="true" outlineLevel="0" collapsed="false">
      <c r="B44" s="12" t="n">
        <v>38</v>
      </c>
      <c r="D44" s="12" t="n">
        <v>1</v>
      </c>
      <c r="E44" s="12" t="n">
        <v>3</v>
      </c>
      <c r="F44" s="12" t="n">
        <v>0</v>
      </c>
      <c r="G44" s="12" t="n">
        <v>0</v>
      </c>
      <c r="H44" s="12" t="n">
        <v>0</v>
      </c>
      <c r="I44" s="12" t="n">
        <v>0</v>
      </c>
      <c r="J44" s="13"/>
      <c r="L44" s="17"/>
      <c r="N44" s="12" t="n">
        <v>1</v>
      </c>
      <c r="O44" s="12" t="n">
        <v>1</v>
      </c>
      <c r="P44" s="12" t="n">
        <v>1</v>
      </c>
      <c r="Q44" s="12" t="n">
        <v>1</v>
      </c>
      <c r="R44" s="18" t="n">
        <v>1</v>
      </c>
      <c r="X44" s="13"/>
      <c r="Y44" s="12" t="n">
        <f aca="false">COUNT(K44:W44)</f>
        <v>5</v>
      </c>
    </row>
    <row r="45" customFormat="false" ht="18.3" hidden="false" customHeight="true" outlineLevel="0" collapsed="false">
      <c r="B45" s="12" t="n">
        <v>39</v>
      </c>
      <c r="D45" s="12" t="n">
        <v>1</v>
      </c>
      <c r="E45" s="12" t="n">
        <v>2</v>
      </c>
      <c r="F45" s="12" t="n">
        <v>0</v>
      </c>
      <c r="G45" s="12" t="n">
        <v>0</v>
      </c>
      <c r="H45" s="12" t="n">
        <v>0</v>
      </c>
      <c r="I45" s="12" t="n">
        <v>0</v>
      </c>
      <c r="J45" s="13"/>
      <c r="L45" s="17"/>
      <c r="O45" s="12" t="n">
        <v>1</v>
      </c>
      <c r="P45" s="12" t="n">
        <v>1</v>
      </c>
      <c r="Q45" s="12" t="n">
        <v>1</v>
      </c>
      <c r="R45" s="18" t="n">
        <v>1</v>
      </c>
      <c r="X45" s="13"/>
      <c r="Y45" s="12" t="n">
        <f aca="false">COUNT(K45:W45)</f>
        <v>4</v>
      </c>
    </row>
    <row r="46" customFormat="false" ht="18.3" hidden="false" customHeight="true" outlineLevel="0" collapsed="false">
      <c r="B46" s="12" t="n">
        <v>40</v>
      </c>
      <c r="D46" s="12" t="n">
        <v>1</v>
      </c>
      <c r="E46" s="12" t="n">
        <v>1</v>
      </c>
      <c r="F46" s="12" t="n">
        <v>0</v>
      </c>
      <c r="G46" s="12" t="n">
        <v>1</v>
      </c>
      <c r="H46" s="12" t="n">
        <v>0</v>
      </c>
      <c r="I46" s="12" t="n">
        <v>0</v>
      </c>
      <c r="J46" s="13"/>
      <c r="L46" s="17" t="n">
        <v>1</v>
      </c>
      <c r="M46" s="12" t="n">
        <v>1</v>
      </c>
      <c r="N46" s="12" t="n">
        <v>1</v>
      </c>
      <c r="P46" s="12" t="n">
        <v>1</v>
      </c>
      <c r="Q46" s="12" t="n">
        <v>1</v>
      </c>
      <c r="R46" s="18" t="n">
        <v>1</v>
      </c>
      <c r="X46" s="13"/>
      <c r="Y46" s="12" t="n">
        <f aca="false">COUNT(K46:W46)</f>
        <v>6</v>
      </c>
    </row>
    <row r="47" customFormat="false" ht="18.3" hidden="false" customHeight="true" outlineLevel="0" collapsed="false">
      <c r="B47" s="12" t="n">
        <v>41</v>
      </c>
      <c r="D47" s="12" t="n">
        <v>1</v>
      </c>
      <c r="E47" s="12" t="n">
        <v>1</v>
      </c>
      <c r="F47" s="12" t="n">
        <v>0</v>
      </c>
      <c r="G47" s="12" t="n">
        <v>0</v>
      </c>
      <c r="H47" s="12" t="n">
        <v>0</v>
      </c>
      <c r="I47" s="12" t="n">
        <v>0</v>
      </c>
      <c r="J47" s="13"/>
      <c r="L47" s="17"/>
      <c r="P47" s="12" t="n">
        <v>1</v>
      </c>
      <c r="Q47" s="12" t="n">
        <v>1</v>
      </c>
      <c r="R47" s="18" t="n">
        <v>1</v>
      </c>
      <c r="X47" s="13"/>
      <c r="Y47" s="12" t="n">
        <f aca="false">COUNT(K47:W47)</f>
        <v>3</v>
      </c>
    </row>
    <row r="48" customFormat="false" ht="18.3" hidden="false" customHeight="true" outlineLevel="0" collapsed="false">
      <c r="B48" s="12" t="n">
        <v>42</v>
      </c>
      <c r="D48" s="12" t="n">
        <v>1</v>
      </c>
      <c r="E48" s="12" t="n">
        <v>0</v>
      </c>
      <c r="F48" s="12" t="n">
        <v>0</v>
      </c>
      <c r="G48" s="12" t="n">
        <v>0</v>
      </c>
      <c r="H48" s="12" t="n">
        <v>1</v>
      </c>
      <c r="I48" s="12" t="n">
        <v>0</v>
      </c>
      <c r="J48" s="13"/>
      <c r="L48" s="17"/>
      <c r="N48" s="12" t="n">
        <v>1</v>
      </c>
      <c r="O48" s="12" t="n">
        <v>1</v>
      </c>
      <c r="Q48" s="12" t="n">
        <v>1</v>
      </c>
      <c r="R48" s="18" t="n">
        <v>1</v>
      </c>
      <c r="X48" s="13"/>
      <c r="Y48" s="12" t="n">
        <f aca="false">COUNT(K48:W48)</f>
        <v>4</v>
      </c>
    </row>
    <row r="49" customFormat="false" ht="18.3" hidden="false" customHeight="true" outlineLevel="0" collapsed="false">
      <c r="B49" s="12" t="n">
        <v>43</v>
      </c>
      <c r="D49" s="12" t="n">
        <v>1</v>
      </c>
      <c r="E49" s="12" t="n">
        <v>0</v>
      </c>
      <c r="F49" s="12" t="n">
        <v>0</v>
      </c>
      <c r="G49" s="12" t="n">
        <v>1</v>
      </c>
      <c r="H49" s="12" t="n">
        <v>0</v>
      </c>
      <c r="I49" s="12" t="n">
        <v>0</v>
      </c>
      <c r="J49" s="13"/>
      <c r="L49" s="17"/>
      <c r="M49" s="12" t="n">
        <v>1</v>
      </c>
      <c r="N49" s="12" t="n">
        <v>1</v>
      </c>
      <c r="Q49" s="12" t="n">
        <v>1</v>
      </c>
      <c r="R49" s="18" t="n">
        <v>1</v>
      </c>
      <c r="X49" s="13"/>
      <c r="Y49" s="12" t="n">
        <f aca="false">COUNT(K49:W49)</f>
        <v>4</v>
      </c>
    </row>
    <row r="50" customFormat="false" ht="18.3" hidden="false" customHeight="true" outlineLevel="0" collapsed="false">
      <c r="B50" s="12" t="n">
        <v>44</v>
      </c>
      <c r="D50" s="12" t="n">
        <v>1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3"/>
      <c r="L50" s="19"/>
      <c r="M50" s="20"/>
      <c r="N50" s="20"/>
      <c r="O50" s="20"/>
      <c r="P50" s="20"/>
      <c r="Q50" s="20" t="n">
        <v>1</v>
      </c>
      <c r="R50" s="21" t="n">
        <v>1</v>
      </c>
      <c r="X50" s="13"/>
      <c r="Y50" s="12" t="n">
        <f aca="false">COUNT(K50:W50)</f>
        <v>2</v>
      </c>
    </row>
    <row r="51" customFormat="false" ht="18.3" hidden="false" customHeight="true" outlineLevel="0" collapsed="false">
      <c r="B51" s="12" t="n">
        <v>45</v>
      </c>
      <c r="D51" s="12" t="n">
        <v>0</v>
      </c>
      <c r="E51" s="12" t="n">
        <v>3</v>
      </c>
      <c r="F51" s="12" t="n">
        <v>0</v>
      </c>
      <c r="G51" s="12" t="n">
        <v>0</v>
      </c>
      <c r="H51" s="12" t="n">
        <v>1</v>
      </c>
      <c r="I51" s="12" t="n">
        <v>0</v>
      </c>
      <c r="J51" s="13"/>
      <c r="K51" s="14" t="n">
        <v>1</v>
      </c>
      <c r="L51" s="15" t="n">
        <v>1</v>
      </c>
      <c r="M51" s="15" t="n">
        <v>1</v>
      </c>
      <c r="N51" s="15" t="n">
        <v>1</v>
      </c>
      <c r="O51" s="15" t="n">
        <v>1</v>
      </c>
      <c r="P51" s="15" t="n">
        <v>1</v>
      </c>
      <c r="Q51" s="16" t="n">
        <v>1</v>
      </c>
      <c r="X51" s="13"/>
      <c r="Y51" s="12" t="n">
        <f aca="false">COUNT(K51:W51)</f>
        <v>7</v>
      </c>
    </row>
    <row r="52" customFormat="false" ht="18.3" hidden="false" customHeight="true" outlineLevel="0" collapsed="false">
      <c r="B52" s="12" t="n">
        <v>46</v>
      </c>
      <c r="D52" s="12" t="n">
        <v>0</v>
      </c>
      <c r="E52" s="12" t="n">
        <v>2</v>
      </c>
      <c r="F52" s="12" t="n">
        <v>0</v>
      </c>
      <c r="G52" s="12" t="n">
        <v>0</v>
      </c>
      <c r="H52" s="12" t="n">
        <v>1</v>
      </c>
      <c r="I52" s="12" t="n">
        <v>0</v>
      </c>
      <c r="J52" s="13"/>
      <c r="K52" s="17"/>
      <c r="L52" s="12" t="n">
        <v>1</v>
      </c>
      <c r="M52" s="12" t="n">
        <v>1</v>
      </c>
      <c r="N52" s="12" t="n">
        <v>1</v>
      </c>
      <c r="O52" s="12" t="n">
        <v>1</v>
      </c>
      <c r="P52" s="12" t="n">
        <v>1</v>
      </c>
      <c r="Q52" s="18" t="n">
        <v>1</v>
      </c>
      <c r="X52" s="13"/>
      <c r="Y52" s="12" t="n">
        <f aca="false">COUNT(K52:W52)</f>
        <v>6</v>
      </c>
    </row>
    <row r="53" customFormat="false" ht="18.3" hidden="false" customHeight="true" outlineLevel="0" collapsed="false">
      <c r="B53" s="12" t="n">
        <v>47</v>
      </c>
      <c r="D53" s="12" t="n">
        <v>0</v>
      </c>
      <c r="E53" s="12" t="n">
        <v>5</v>
      </c>
      <c r="F53" s="12" t="n">
        <v>0</v>
      </c>
      <c r="G53" s="12" t="n">
        <v>0</v>
      </c>
      <c r="H53" s="12" t="n">
        <v>0</v>
      </c>
      <c r="I53" s="12" t="n">
        <v>0</v>
      </c>
      <c r="J53" s="13"/>
      <c r="K53" s="17"/>
      <c r="L53" s="12" t="n">
        <v>1</v>
      </c>
      <c r="M53" s="12" t="n">
        <v>1</v>
      </c>
      <c r="N53" s="12" t="n">
        <v>1</v>
      </c>
      <c r="O53" s="12" t="n">
        <v>1</v>
      </c>
      <c r="P53" s="12" t="n">
        <v>1</v>
      </c>
      <c r="Q53" s="18" t="n">
        <v>1</v>
      </c>
      <c r="X53" s="13"/>
      <c r="Y53" s="12" t="n">
        <f aca="false">COUNT(K53:W53)</f>
        <v>6</v>
      </c>
    </row>
    <row r="54" customFormat="false" ht="18.3" hidden="false" customHeight="true" outlineLevel="0" collapsed="false">
      <c r="B54" s="12" t="n">
        <v>48</v>
      </c>
      <c r="D54" s="12" t="n">
        <v>0</v>
      </c>
      <c r="E54" s="12" t="n">
        <v>4</v>
      </c>
      <c r="F54" s="12" t="n">
        <v>0</v>
      </c>
      <c r="G54" s="12" t="n">
        <v>0</v>
      </c>
      <c r="H54" s="12" t="n">
        <v>0</v>
      </c>
      <c r="I54" s="12" t="n">
        <v>0</v>
      </c>
      <c r="J54" s="13"/>
      <c r="K54" s="17"/>
      <c r="M54" s="12" t="n">
        <v>1</v>
      </c>
      <c r="N54" s="12" t="n">
        <v>1</v>
      </c>
      <c r="O54" s="12" t="n">
        <v>1</v>
      </c>
      <c r="P54" s="12" t="n">
        <v>1</v>
      </c>
      <c r="Q54" s="18" t="n">
        <v>1</v>
      </c>
      <c r="X54" s="13"/>
      <c r="Y54" s="12" t="n">
        <f aca="false">COUNT(K54:W54)</f>
        <v>5</v>
      </c>
    </row>
    <row r="55" customFormat="false" ht="18.3" hidden="false" customHeight="true" outlineLevel="0" collapsed="false">
      <c r="B55" s="12" t="n">
        <v>49</v>
      </c>
      <c r="D55" s="12" t="n">
        <v>0</v>
      </c>
      <c r="E55" s="12" t="n">
        <v>3</v>
      </c>
      <c r="F55" s="12" t="n">
        <v>0</v>
      </c>
      <c r="G55" s="12" t="n">
        <v>0</v>
      </c>
      <c r="H55" s="12" t="n">
        <v>0</v>
      </c>
      <c r="I55" s="12" t="n">
        <v>0</v>
      </c>
      <c r="J55" s="13"/>
      <c r="K55" s="17"/>
      <c r="N55" s="12" t="n">
        <v>1</v>
      </c>
      <c r="O55" s="12" t="n">
        <v>1</v>
      </c>
      <c r="P55" s="12" t="n">
        <v>1</v>
      </c>
      <c r="Q55" s="18" t="n">
        <v>1</v>
      </c>
      <c r="X55" s="13"/>
      <c r="Y55" s="12" t="n">
        <f aca="false">COUNT(K55:W55)</f>
        <v>4</v>
      </c>
    </row>
    <row r="56" customFormat="false" ht="18.3" hidden="false" customHeight="true" outlineLevel="0" collapsed="false">
      <c r="B56" s="12" t="n">
        <v>50</v>
      </c>
      <c r="D56" s="12" t="n">
        <v>0</v>
      </c>
      <c r="E56" s="12" t="n">
        <v>2</v>
      </c>
      <c r="F56" s="12" t="n">
        <v>0</v>
      </c>
      <c r="G56" s="12" t="n">
        <v>1</v>
      </c>
      <c r="H56" s="12" t="n">
        <v>0</v>
      </c>
      <c r="I56" s="12" t="n">
        <v>0</v>
      </c>
      <c r="J56" s="13"/>
      <c r="K56" s="17" t="n">
        <v>1</v>
      </c>
      <c r="L56" s="12" t="n">
        <v>1</v>
      </c>
      <c r="M56" s="12" t="n">
        <v>1</v>
      </c>
      <c r="O56" s="12" t="n">
        <v>1</v>
      </c>
      <c r="P56" s="12" t="n">
        <v>1</v>
      </c>
      <c r="Q56" s="18" t="n">
        <v>1</v>
      </c>
      <c r="X56" s="13"/>
      <c r="Y56" s="12" t="n">
        <f aca="false">COUNT(K56:W56)</f>
        <v>6</v>
      </c>
    </row>
    <row r="57" customFormat="false" ht="18.3" hidden="false" customHeight="true" outlineLevel="0" collapsed="false">
      <c r="B57" s="12" t="n">
        <v>51</v>
      </c>
      <c r="D57" s="12" t="n">
        <v>0</v>
      </c>
      <c r="E57" s="12" t="n">
        <v>2</v>
      </c>
      <c r="F57" s="12" t="n">
        <v>0</v>
      </c>
      <c r="G57" s="12" t="n">
        <v>0</v>
      </c>
      <c r="H57" s="12" t="n">
        <v>0</v>
      </c>
      <c r="I57" s="12" t="n">
        <v>0</v>
      </c>
      <c r="J57" s="13"/>
      <c r="K57" s="17"/>
      <c r="O57" s="12" t="n">
        <v>1</v>
      </c>
      <c r="P57" s="12" t="n">
        <v>1</v>
      </c>
      <c r="Q57" s="18" t="n">
        <v>1</v>
      </c>
      <c r="X57" s="13"/>
      <c r="Y57" s="12" t="n">
        <f aca="false">COUNT(K57:W57)</f>
        <v>3</v>
      </c>
    </row>
    <row r="58" customFormat="false" ht="18.3" hidden="false" customHeight="true" outlineLevel="0" collapsed="false">
      <c r="B58" s="12" t="n">
        <v>52</v>
      </c>
      <c r="D58" s="12" t="n">
        <v>0</v>
      </c>
      <c r="E58" s="12" t="n">
        <v>1</v>
      </c>
      <c r="F58" s="12" t="n">
        <v>0</v>
      </c>
      <c r="G58" s="12" t="n">
        <v>0</v>
      </c>
      <c r="H58" s="12" t="n">
        <v>1</v>
      </c>
      <c r="I58" s="12" t="n">
        <v>0</v>
      </c>
      <c r="J58" s="13"/>
      <c r="K58" s="17"/>
      <c r="M58" s="12" t="n">
        <v>1</v>
      </c>
      <c r="N58" s="12" t="n">
        <v>1</v>
      </c>
      <c r="P58" s="12" t="n">
        <v>1</v>
      </c>
      <c r="Q58" s="18" t="n">
        <v>1</v>
      </c>
      <c r="X58" s="13"/>
      <c r="Y58" s="12" t="n">
        <f aca="false">COUNT(K58:W58)</f>
        <v>4</v>
      </c>
    </row>
    <row r="59" customFormat="false" ht="18.3" hidden="false" customHeight="true" outlineLevel="0" collapsed="false">
      <c r="B59" s="12" t="n">
        <v>53</v>
      </c>
      <c r="D59" s="12" t="n">
        <v>0</v>
      </c>
      <c r="E59" s="12" t="n">
        <v>1</v>
      </c>
      <c r="F59" s="12" t="n">
        <v>0</v>
      </c>
      <c r="G59" s="12" t="n">
        <v>1</v>
      </c>
      <c r="H59" s="12" t="n">
        <v>0</v>
      </c>
      <c r="I59" s="12" t="n">
        <v>0</v>
      </c>
      <c r="J59" s="13"/>
      <c r="K59" s="17"/>
      <c r="L59" s="12" t="n">
        <v>1</v>
      </c>
      <c r="M59" s="12" t="n">
        <v>1</v>
      </c>
      <c r="P59" s="12" t="n">
        <v>1</v>
      </c>
      <c r="Q59" s="18" t="n">
        <v>1</v>
      </c>
      <c r="X59" s="13"/>
      <c r="Y59" s="12" t="n">
        <f aca="false">COUNT(K59:W59)</f>
        <v>4</v>
      </c>
    </row>
    <row r="60" customFormat="false" ht="18.3" hidden="false" customHeight="true" outlineLevel="0" collapsed="false">
      <c r="B60" s="12" t="n">
        <v>54</v>
      </c>
      <c r="D60" s="12" t="n">
        <v>0</v>
      </c>
      <c r="E60" s="12" t="n">
        <v>1</v>
      </c>
      <c r="F60" s="12" t="n">
        <v>0</v>
      </c>
      <c r="G60" s="12" t="n">
        <v>0</v>
      </c>
      <c r="H60" s="12" t="n">
        <v>0</v>
      </c>
      <c r="I60" s="12" t="n">
        <v>0</v>
      </c>
      <c r="J60" s="13"/>
      <c r="K60" s="19"/>
      <c r="L60" s="20"/>
      <c r="M60" s="20"/>
      <c r="N60" s="20"/>
      <c r="O60" s="20"/>
      <c r="P60" s="20" t="n">
        <v>1</v>
      </c>
      <c r="Q60" s="21" t="n">
        <v>1</v>
      </c>
      <c r="X60" s="13"/>
      <c r="Y60" s="12" t="n">
        <f aca="false">COUNT(K60:W60)</f>
        <v>2</v>
      </c>
    </row>
    <row r="61" customFormat="false" ht="18.3" hidden="false" customHeight="true" outlineLevel="0" collapsed="false">
      <c r="A61" s="12" t="s">
        <v>109</v>
      </c>
      <c r="B61" s="12" t="s">
        <v>109</v>
      </c>
      <c r="C61" s="12" t="s">
        <v>109</v>
      </c>
      <c r="D61" s="12" t="s">
        <v>109</v>
      </c>
      <c r="E61" s="12" t="s">
        <v>109</v>
      </c>
      <c r="F61" s="12" t="s">
        <v>109</v>
      </c>
      <c r="G61" s="12" t="s">
        <v>109</v>
      </c>
      <c r="H61" s="12" t="s">
        <v>109</v>
      </c>
      <c r="I61" s="12" t="s">
        <v>109</v>
      </c>
      <c r="J61" s="12" t="s">
        <v>109</v>
      </c>
      <c r="K61" s="12" t="s">
        <v>109</v>
      </c>
      <c r="L61" s="12" t="s">
        <v>109</v>
      </c>
      <c r="M61" s="12" t="s">
        <v>109</v>
      </c>
      <c r="N61" s="12" t="s">
        <v>109</v>
      </c>
      <c r="O61" s="12" t="s">
        <v>109</v>
      </c>
      <c r="P61" s="12" t="s">
        <v>109</v>
      </c>
      <c r="Q61" s="12" t="s">
        <v>109</v>
      </c>
      <c r="R61" s="12" t="s">
        <v>109</v>
      </c>
      <c r="S61" s="12" t="s">
        <v>109</v>
      </c>
      <c r="T61" s="12" t="s">
        <v>109</v>
      </c>
      <c r="U61" s="12" t="s">
        <v>109</v>
      </c>
      <c r="V61" s="12" t="s">
        <v>109</v>
      </c>
      <c r="W61" s="12" t="s">
        <v>109</v>
      </c>
      <c r="X61" s="12" t="s">
        <v>109</v>
      </c>
      <c r="Y61" s="12" t="s">
        <v>109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BZ61"/>
  <sheetViews>
    <sheetView showFormulas="false" showGridLines="true" showRowColHeaders="true" showZeros="true" rightToLeft="false" tabSelected="false" showOutlineSymbols="true" defaultGridColor="true" view="normal" topLeftCell="AQ1" colorId="64" zoomScale="90" zoomScaleNormal="90" zoomScalePageLayoutView="100" workbookViewId="0">
      <pane xSplit="0" ySplit="6" topLeftCell="A7" activePane="bottomLeft" state="frozen"/>
      <selection pane="topLeft" activeCell="AQ1" activeCellId="0" sqref="AQ1"/>
      <selection pane="bottomLeft" activeCell="L59" activeCellId="0" sqref="L59"/>
    </sheetView>
  </sheetViews>
  <sheetFormatPr defaultColWidth="3.19921875" defaultRowHeight="18.3" zeroHeight="false" outlineLevelRow="0" outlineLevelCol="0"/>
  <cols>
    <col collapsed="false" customWidth="true" hidden="false" outlineLevel="0" max="1" min="1" style="12" width="10.84"/>
    <col collapsed="false" customWidth="true" hidden="false" outlineLevel="0" max="14" min="2" style="0" width="6.11"/>
    <col collapsed="false" customWidth="true" hidden="false" outlineLevel="0" max="25" min="15" style="0" width="5.96"/>
    <col collapsed="false" customWidth="true" hidden="false" outlineLevel="0" max="39" min="27" style="22" width="5.41"/>
    <col collapsed="false" customWidth="true" hidden="false" outlineLevel="0" max="47" min="41" style="0" width="5.55"/>
    <col collapsed="false" customWidth="true" hidden="false" outlineLevel="0" max="51" min="49" style="0" width="5.55"/>
    <col collapsed="false" customWidth="true" hidden="false" outlineLevel="0" max="52" min="52" style="23" width="5.55"/>
    <col collapsed="false" customWidth="true" hidden="false" outlineLevel="0" max="55" min="53" style="0" width="5.55"/>
    <col collapsed="false" customWidth="true" hidden="false" outlineLevel="0" max="59" min="59" style="0" width="4.63"/>
    <col collapsed="false" customWidth="true" hidden="false" outlineLevel="0" max="60" min="60" style="0" width="2.81"/>
    <col collapsed="false" customWidth="true" hidden="false" outlineLevel="0" max="61" min="61" style="0" width="4.12"/>
    <col collapsed="false" customWidth="true" hidden="false" outlineLevel="0" max="62" min="62" style="0" width="5.1"/>
    <col collapsed="false" customWidth="true" hidden="false" outlineLevel="0" max="66" min="63" style="0" width="4.12"/>
    <col collapsed="false" customWidth="true" hidden="false" outlineLevel="0" max="73" min="67" style="0" width="17.86"/>
    <col collapsed="false" customWidth="true" hidden="false" outlineLevel="0" max="74" min="74" style="0" width="5.59"/>
    <col collapsed="false" customWidth="true" hidden="false" outlineLevel="0" max="75" min="75" style="0" width="4.44"/>
    <col collapsed="false" customWidth="true" hidden="false" outlineLevel="0" max="76" min="76" style="0" width="4.63"/>
    <col collapsed="false" customWidth="true" hidden="false" outlineLevel="0" max="77" min="77" style="0" width="5.59"/>
    <col collapsed="false" customWidth="true" hidden="false" outlineLevel="0" max="78" min="78" style="0" width="6.38"/>
    <col collapsed="false" customWidth="true" hidden="false" outlineLevel="0" max="1024" min="768" style="0" width="11.52"/>
  </cols>
  <sheetData>
    <row r="2" customFormat="false" ht="18.3" hidden="false" customHeight="true" outlineLevel="0" collapsed="false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0" t="s">
        <v>87</v>
      </c>
      <c r="Q2" s="12"/>
      <c r="R2" s="12"/>
      <c r="S2" s="12"/>
      <c r="T2" s="12"/>
      <c r="U2" s="12"/>
      <c r="V2" s="12"/>
      <c r="W2" s="12"/>
      <c r="X2" s="12"/>
      <c r="Y2" s="12"/>
      <c r="Z2" s="12"/>
      <c r="AF2" s="10" t="s">
        <v>110</v>
      </c>
      <c r="AN2" s="12"/>
      <c r="AR2" s="10" t="s">
        <v>111</v>
      </c>
      <c r="AV2" s="12"/>
      <c r="AZ2" s="24" t="s">
        <v>112</v>
      </c>
      <c r="BD2" s="12"/>
      <c r="BE2" s="12"/>
      <c r="BF2" s="12"/>
      <c r="BQ2" s="25" t="s">
        <v>113</v>
      </c>
      <c r="BR2" s="25"/>
    </row>
    <row r="3" customFormat="false" ht="18.3" hidden="false" customHeight="true" outlineLevel="0" collapsed="false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0"/>
      <c r="Q3" s="12"/>
      <c r="R3" s="12"/>
      <c r="S3" s="12"/>
      <c r="T3" s="12"/>
      <c r="U3" s="12"/>
      <c r="V3" s="12"/>
      <c r="W3" s="12"/>
      <c r="X3" s="12"/>
      <c r="Y3" s="12"/>
      <c r="Z3" s="12"/>
      <c r="AN3" s="12"/>
      <c r="AV3" s="12"/>
      <c r="BD3" s="12"/>
      <c r="BE3" s="12"/>
      <c r="BF3" s="12"/>
      <c r="BQ3" s="25"/>
      <c r="BR3" s="25"/>
    </row>
    <row r="4" customFormat="false" ht="18.3" hidden="false" customHeight="true" outlineLevel="0" collapsed="false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0"/>
      <c r="Q4" s="12"/>
      <c r="R4" s="12"/>
      <c r="S4" s="12"/>
      <c r="T4" s="12"/>
      <c r="U4" s="12"/>
      <c r="V4" s="12"/>
      <c r="W4" s="12"/>
      <c r="X4" s="12"/>
      <c r="Y4" s="12"/>
      <c r="Z4" s="12"/>
      <c r="AN4" s="12"/>
      <c r="AV4" s="12"/>
      <c r="BD4" s="12"/>
      <c r="BE4" s="12"/>
      <c r="BF4" s="12"/>
      <c r="BQ4" s="25"/>
      <c r="BR4" s="25"/>
    </row>
    <row r="5" customFormat="false" ht="18.3" hidden="false" customHeight="true" outlineLevel="0" collapsed="false">
      <c r="C5" s="12"/>
      <c r="D5" s="12"/>
      <c r="E5" s="12"/>
      <c r="F5" s="12"/>
      <c r="G5" s="12"/>
      <c r="H5" s="12"/>
      <c r="I5" s="12"/>
      <c r="J5" s="12"/>
      <c r="K5" s="12" t="n">
        <v>0.5</v>
      </c>
      <c r="L5" s="12" t="n">
        <v>0.0833333333333333</v>
      </c>
      <c r="M5" s="12" t="n">
        <v>0.666666666666667</v>
      </c>
      <c r="N5" s="12" t="n">
        <v>0.25</v>
      </c>
      <c r="O5" s="12" t="n">
        <v>0.833333333333333</v>
      </c>
      <c r="P5" s="12" t="n">
        <v>0.416666666666667</v>
      </c>
      <c r="Q5" s="12" t="n">
        <v>1</v>
      </c>
      <c r="R5" s="12" t="n">
        <v>0.583333333333333</v>
      </c>
      <c r="S5" s="12" t="n">
        <v>0.166666666666667</v>
      </c>
      <c r="T5" s="12" t="n">
        <v>0.75</v>
      </c>
      <c r="U5" s="12" t="n">
        <v>0.333333333333333</v>
      </c>
      <c r="V5" s="12" t="n">
        <v>0.916666666666667</v>
      </c>
      <c r="W5" s="12" t="n">
        <v>0.5</v>
      </c>
      <c r="X5" s="12"/>
      <c r="Y5" s="12"/>
      <c r="Z5" s="12"/>
      <c r="AA5" s="12" t="n">
        <v>0.5</v>
      </c>
      <c r="AB5" s="12" t="n">
        <v>0.0833333333333333</v>
      </c>
      <c r="AC5" s="12" t="n">
        <v>0.666666666666667</v>
      </c>
      <c r="AD5" s="12" t="n">
        <v>0.25</v>
      </c>
      <c r="AE5" s="12" t="n">
        <v>0.833333333333333</v>
      </c>
      <c r="AF5" s="12" t="n">
        <v>0.416666666666667</v>
      </c>
      <c r="AG5" s="12" t="n">
        <v>1</v>
      </c>
      <c r="AH5" s="12" t="n">
        <v>0.583333333333333</v>
      </c>
      <c r="AI5" s="12" t="n">
        <v>0.166666666666667</v>
      </c>
      <c r="AJ5" s="12" t="n">
        <v>0.75</v>
      </c>
      <c r="AK5" s="12" t="n">
        <v>0.333333333333333</v>
      </c>
      <c r="AL5" s="12" t="n">
        <v>0.916666666666667</v>
      </c>
      <c r="AM5" s="12" t="n">
        <v>0.5</v>
      </c>
      <c r="AN5" s="12"/>
      <c r="AV5" s="12"/>
      <c r="BD5" s="12"/>
      <c r="BE5" s="12"/>
      <c r="BF5" s="12"/>
    </row>
    <row r="6" customFormat="false" ht="18.3" hidden="false" customHeight="true" outlineLevel="0" collapsed="false">
      <c r="B6" s="10" t="s">
        <v>95</v>
      </c>
      <c r="C6" s="12"/>
      <c r="D6" s="10" t="s">
        <v>96</v>
      </c>
      <c r="E6" s="10" t="s">
        <v>97</v>
      </c>
      <c r="F6" s="10" t="s">
        <v>98</v>
      </c>
      <c r="G6" s="10" t="s">
        <v>99</v>
      </c>
      <c r="H6" s="10" t="s">
        <v>100</v>
      </c>
      <c r="I6" s="10" t="s">
        <v>101</v>
      </c>
      <c r="J6" s="13"/>
      <c r="K6" s="10" t="s">
        <v>105</v>
      </c>
      <c r="L6" s="10" t="s">
        <v>102</v>
      </c>
      <c r="M6" s="10" t="s">
        <v>106</v>
      </c>
      <c r="N6" s="10" t="s">
        <v>103</v>
      </c>
      <c r="O6" s="10" t="s">
        <v>107</v>
      </c>
      <c r="P6" s="10" t="n">
        <v>4</v>
      </c>
      <c r="Q6" s="10" t="n">
        <v>1</v>
      </c>
      <c r="R6" s="10" t="n">
        <v>5</v>
      </c>
      <c r="S6" s="10" t="n">
        <v>2</v>
      </c>
      <c r="T6" s="10" t="n">
        <v>6</v>
      </c>
      <c r="U6" s="10" t="n">
        <v>3</v>
      </c>
      <c r="V6" s="10" t="n">
        <v>7</v>
      </c>
      <c r="W6" s="10" t="s">
        <v>104</v>
      </c>
      <c r="X6" s="13"/>
      <c r="Y6" s="10" t="s">
        <v>108</v>
      </c>
      <c r="Z6" s="13"/>
      <c r="AA6" s="10" t="s">
        <v>105</v>
      </c>
      <c r="AB6" s="10" t="s">
        <v>102</v>
      </c>
      <c r="AC6" s="10" t="s">
        <v>106</v>
      </c>
      <c r="AD6" s="10" t="s">
        <v>103</v>
      </c>
      <c r="AE6" s="10" t="s">
        <v>107</v>
      </c>
      <c r="AF6" s="10" t="n">
        <v>4</v>
      </c>
      <c r="AG6" s="10" t="n">
        <v>1</v>
      </c>
      <c r="AH6" s="10" t="n">
        <v>5</v>
      </c>
      <c r="AI6" s="10" t="n">
        <v>2</v>
      </c>
      <c r="AJ6" s="10" t="n">
        <v>6</v>
      </c>
      <c r="AK6" s="10" t="n">
        <v>3</v>
      </c>
      <c r="AL6" s="10" t="n">
        <v>7</v>
      </c>
      <c r="AM6" s="10" t="s">
        <v>104</v>
      </c>
      <c r="AN6" s="13"/>
      <c r="AV6" s="13"/>
      <c r="AW6" s="0" t="s">
        <v>114</v>
      </c>
      <c r="AX6" s="0" t="s">
        <v>115</v>
      </c>
      <c r="AY6" s="0" t="s">
        <v>116</v>
      </c>
      <c r="AZ6" s="23" t="s">
        <v>117</v>
      </c>
      <c r="BA6" s="0" t="s">
        <v>118</v>
      </c>
      <c r="BB6" s="0" t="s">
        <v>119</v>
      </c>
      <c r="BC6" s="0" t="s">
        <v>120</v>
      </c>
      <c r="BD6" s="13"/>
      <c r="BE6" s="13"/>
      <c r="BF6" s="13"/>
      <c r="BG6" s="9" t="s">
        <v>95</v>
      </c>
      <c r="BH6" s="9" t="s">
        <v>108</v>
      </c>
      <c r="BI6" s="9" t="s">
        <v>96</v>
      </c>
      <c r="BJ6" s="9" t="s">
        <v>97</v>
      </c>
      <c r="BK6" s="9" t="s">
        <v>98</v>
      </c>
      <c r="BL6" s="9" t="s">
        <v>99</v>
      </c>
      <c r="BM6" s="9" t="s">
        <v>100</v>
      </c>
      <c r="BN6" s="9" t="s">
        <v>101</v>
      </c>
      <c r="BO6" s="9" t="s">
        <v>114</v>
      </c>
      <c r="BP6" s="9" t="s">
        <v>115</v>
      </c>
      <c r="BQ6" s="9" t="s">
        <v>116</v>
      </c>
      <c r="BR6" s="26" t="s">
        <v>117</v>
      </c>
      <c r="BS6" s="9" t="s">
        <v>118</v>
      </c>
      <c r="BT6" s="9" t="s">
        <v>119</v>
      </c>
      <c r="BU6" s="9" t="s">
        <v>120</v>
      </c>
      <c r="BV6" s="0" t="s">
        <v>121</v>
      </c>
      <c r="BW6" s="0" t="s">
        <v>122</v>
      </c>
      <c r="BX6" s="0" t="s">
        <v>123</v>
      </c>
      <c r="BY6" s="0" t="s">
        <v>124</v>
      </c>
      <c r="BZ6" s="0" t="s">
        <v>125</v>
      </c>
    </row>
    <row r="7" customFormat="false" ht="18.3" hidden="false" customHeight="true" outlineLevel="0" collapsed="false">
      <c r="B7" s="12" t="n">
        <v>1</v>
      </c>
      <c r="C7" s="12"/>
      <c r="D7" s="12" t="n">
        <v>2</v>
      </c>
      <c r="E7" s="12" t="n">
        <v>0</v>
      </c>
      <c r="F7" s="12" t="n">
        <v>1</v>
      </c>
      <c r="G7" s="12" t="n">
        <v>0</v>
      </c>
      <c r="H7" s="12" t="n">
        <v>0</v>
      </c>
      <c r="I7" s="12" t="n">
        <v>0</v>
      </c>
      <c r="J7" s="13"/>
      <c r="K7" s="12"/>
      <c r="L7" s="12"/>
      <c r="M7" s="12"/>
      <c r="N7" s="12"/>
      <c r="O7" s="12"/>
      <c r="P7" s="12"/>
      <c r="Q7" s="27" t="n">
        <v>1</v>
      </c>
      <c r="R7" s="15" t="n">
        <v>1</v>
      </c>
      <c r="S7" s="15" t="n">
        <v>1</v>
      </c>
      <c r="T7" s="15"/>
      <c r="U7" s="15" t="n">
        <v>1</v>
      </c>
      <c r="V7" s="15" t="n">
        <v>1</v>
      </c>
      <c r="W7" s="16" t="n">
        <v>1</v>
      </c>
      <c r="X7" s="13"/>
      <c r="Y7" s="12" t="n">
        <f aca="false">COUNT(K7:W7)</f>
        <v>6</v>
      </c>
      <c r="Z7" s="13"/>
      <c r="AG7" s="22" t="n">
        <v>0</v>
      </c>
      <c r="AH7" s="22" t="n">
        <v>0.583333333333333</v>
      </c>
      <c r="AI7" s="22" t="n">
        <v>0.166666666666667</v>
      </c>
      <c r="AK7" s="22" t="n">
        <v>0.333333333333333</v>
      </c>
      <c r="AL7" s="22" t="n">
        <v>0.916666666666667</v>
      </c>
      <c r="AM7" s="22" t="n">
        <v>1.5</v>
      </c>
      <c r="AN7" s="13"/>
      <c r="AO7" s="22" t="n">
        <v>0</v>
      </c>
      <c r="AP7" s="22" t="n">
        <v>0.583333333333333</v>
      </c>
      <c r="AQ7" s="22" t="n">
        <v>0.166666666666667</v>
      </c>
      <c r="AR7" s="22"/>
      <c r="AS7" s="22" t="n">
        <v>0.333333333333333</v>
      </c>
      <c r="AT7" s="22" t="n">
        <v>0.916666666666667</v>
      </c>
      <c r="AU7" s="22" t="n">
        <v>1.5</v>
      </c>
      <c r="AV7" s="13"/>
      <c r="AW7" s="22" t="n">
        <v>0</v>
      </c>
      <c r="AX7" s="22" t="n">
        <v>0.583333333333333</v>
      </c>
      <c r="AY7" s="22" t="n">
        <v>0.166666666666667</v>
      </c>
      <c r="AZ7" s="22" t="n">
        <v>0.333333333333333</v>
      </c>
      <c r="BA7" s="22" t="n">
        <v>0.333333333333333</v>
      </c>
      <c r="BB7" s="22" t="n">
        <v>0.916666666666667</v>
      </c>
      <c r="BC7" s="22" t="n">
        <v>1.5</v>
      </c>
      <c r="BD7" s="13"/>
      <c r="BE7" s="13"/>
      <c r="BF7" s="13"/>
      <c r="BG7" s="28" t="n">
        <f aca="false">B7</f>
        <v>1</v>
      </c>
      <c r="BH7" s="28" t="n">
        <f aca="false">Y7</f>
        <v>6</v>
      </c>
      <c r="BI7" s="28" t="n">
        <f aca="false">D7+0.1</f>
        <v>2.1</v>
      </c>
      <c r="BJ7" s="28" t="n">
        <f aca="false">(E7*2)+0.1</f>
        <v>0.1</v>
      </c>
      <c r="BK7" s="28" t="n">
        <f aca="false">F7+0.1</f>
        <v>1.1</v>
      </c>
      <c r="BL7" s="28" t="n">
        <f aca="false">(G7*2)+0.1</f>
        <v>0.1</v>
      </c>
      <c r="BM7" s="28" t="n">
        <f aca="false">H7+0.1</f>
        <v>0.1</v>
      </c>
      <c r="BN7" s="28" t="n">
        <f aca="false">(I7*2)+0.1</f>
        <v>0.1</v>
      </c>
      <c r="BO7" s="28" t="n">
        <f aca="false">AW7</f>
        <v>0</v>
      </c>
      <c r="BP7" s="28" t="n">
        <f aca="false">AX7</f>
        <v>0.583333333333333</v>
      </c>
      <c r="BQ7" s="28" t="n">
        <f aca="false">AY7</f>
        <v>0.166666666666667</v>
      </c>
      <c r="BR7" s="28" t="n">
        <f aca="false">AZ7</f>
        <v>0.333333333333333</v>
      </c>
      <c r="BS7" s="28" t="n">
        <f aca="false">BA7</f>
        <v>0.333333333333333</v>
      </c>
      <c r="BT7" s="28" t="n">
        <f aca="false">BB7</f>
        <v>0.916666666666667</v>
      </c>
      <c r="BU7" s="28" t="n">
        <f aca="false">BC7</f>
        <v>1.5</v>
      </c>
    </row>
    <row r="8" customFormat="false" ht="18.3" hidden="false" customHeight="true" outlineLevel="0" collapsed="false">
      <c r="B8" s="12" t="n">
        <v>2</v>
      </c>
      <c r="C8" s="12"/>
      <c r="D8" s="12" t="n">
        <v>3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1</v>
      </c>
      <c r="J8" s="13"/>
      <c r="K8" s="12"/>
      <c r="L8" s="12"/>
      <c r="M8" s="12"/>
      <c r="N8" s="12"/>
      <c r="O8" s="12"/>
      <c r="P8" s="12"/>
      <c r="Q8" s="29" t="n">
        <v>1</v>
      </c>
      <c r="R8" s="30" t="n">
        <v>1</v>
      </c>
      <c r="S8" s="30" t="n">
        <v>1</v>
      </c>
      <c r="T8" s="30" t="n">
        <v>1</v>
      </c>
      <c r="U8" s="30" t="n">
        <v>1</v>
      </c>
      <c r="V8" s="30" t="n">
        <v>1</v>
      </c>
      <c r="W8" s="18" t="n">
        <v>1</v>
      </c>
      <c r="X8" s="13"/>
      <c r="Y8" s="12" t="n">
        <f aca="false">COUNT(K8:W8)</f>
        <v>7</v>
      </c>
      <c r="Z8" s="13"/>
      <c r="AG8" s="22" t="n">
        <v>0</v>
      </c>
      <c r="AH8" s="22" t="n">
        <v>0.583333333333333</v>
      </c>
      <c r="AI8" s="22" t="n">
        <v>0.166666666666667</v>
      </c>
      <c r="AJ8" s="22" t="n">
        <v>0.75</v>
      </c>
      <c r="AK8" s="22" t="n">
        <v>0.333333333333333</v>
      </c>
      <c r="AL8" s="22" t="n">
        <v>0.916666666666667</v>
      </c>
      <c r="AM8" s="22" t="n">
        <v>1.5</v>
      </c>
      <c r="AN8" s="13"/>
      <c r="AO8" s="22" t="n">
        <v>0</v>
      </c>
      <c r="AP8" s="22" t="n">
        <v>0.583333333333333</v>
      </c>
      <c r="AQ8" s="22" t="n">
        <v>0.166666666666667</v>
      </c>
      <c r="AR8" s="22" t="n">
        <v>0.75</v>
      </c>
      <c r="AS8" s="22" t="n">
        <v>0.333333333333333</v>
      </c>
      <c r="AT8" s="22" t="n">
        <v>0.916666666666667</v>
      </c>
      <c r="AU8" s="22" t="n">
        <v>1.5</v>
      </c>
      <c r="AV8" s="13"/>
      <c r="AW8" s="22" t="n">
        <v>0</v>
      </c>
      <c r="AX8" s="22" t="n">
        <v>0.583333333333333</v>
      </c>
      <c r="AY8" s="22" t="n">
        <v>0.166666666666667</v>
      </c>
      <c r="AZ8" s="31" t="n">
        <v>0.75</v>
      </c>
      <c r="BA8" s="22" t="n">
        <v>0.333333333333333</v>
      </c>
      <c r="BB8" s="22" t="n">
        <v>0.916666666666667</v>
      </c>
      <c r="BC8" s="22" t="n">
        <v>1.5</v>
      </c>
      <c r="BD8" s="13"/>
      <c r="BE8" s="13"/>
      <c r="BF8" s="13"/>
      <c r="BG8" s="28" t="n">
        <f aca="false">B8</f>
        <v>2</v>
      </c>
      <c r="BH8" s="28" t="n">
        <f aca="false">Y8</f>
        <v>7</v>
      </c>
      <c r="BI8" s="28" t="n">
        <f aca="false">D8+0.1</f>
        <v>3.1</v>
      </c>
      <c r="BJ8" s="28" t="n">
        <f aca="false">(E8*2)+0.1</f>
        <v>0.1</v>
      </c>
      <c r="BK8" s="28" t="n">
        <f aca="false">F8+0.1</f>
        <v>0.1</v>
      </c>
      <c r="BL8" s="28" t="n">
        <f aca="false">(G8*2)+0.1</f>
        <v>0.1</v>
      </c>
      <c r="BM8" s="28" t="n">
        <f aca="false">H8+0.1</f>
        <v>0.1</v>
      </c>
      <c r="BN8" s="28" t="n">
        <f aca="false">(I8*2)+0.1</f>
        <v>2.1</v>
      </c>
      <c r="BO8" s="28" t="n">
        <f aca="false">AW8</f>
        <v>0</v>
      </c>
      <c r="BP8" s="28" t="n">
        <f aca="false">AX8</f>
        <v>0.583333333333333</v>
      </c>
      <c r="BQ8" s="28" t="n">
        <f aca="false">AY8</f>
        <v>0.166666666666667</v>
      </c>
      <c r="BR8" s="28" t="n">
        <f aca="false">AZ8</f>
        <v>0.75</v>
      </c>
      <c r="BS8" s="28" t="n">
        <f aca="false">BA8</f>
        <v>0.333333333333333</v>
      </c>
      <c r="BT8" s="28" t="n">
        <f aca="false">BB8</f>
        <v>0.916666666666667</v>
      </c>
      <c r="BU8" s="28" t="n">
        <f aca="false">BC8</f>
        <v>1.5</v>
      </c>
    </row>
    <row r="9" customFormat="false" ht="18.3" hidden="false" customHeight="true" outlineLevel="0" collapsed="false">
      <c r="B9" s="12" t="n">
        <v>3</v>
      </c>
      <c r="C9" s="12"/>
      <c r="D9" s="12" t="n">
        <v>6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3"/>
      <c r="K9" s="12"/>
      <c r="L9" s="12"/>
      <c r="M9" s="12"/>
      <c r="N9" s="12"/>
      <c r="O9" s="12"/>
      <c r="P9" s="12"/>
      <c r="Q9" s="29" t="n">
        <v>1</v>
      </c>
      <c r="R9" s="12" t="n">
        <v>1</v>
      </c>
      <c r="S9" s="12" t="n">
        <v>1</v>
      </c>
      <c r="T9" s="12" t="n">
        <v>1</v>
      </c>
      <c r="U9" s="12" t="n">
        <v>1</v>
      </c>
      <c r="V9" s="12" t="n">
        <v>1</v>
      </c>
      <c r="W9" s="18" t="n">
        <v>1</v>
      </c>
      <c r="X9" s="13"/>
      <c r="Y9" s="12" t="n">
        <f aca="false">COUNT(K9:W9)</f>
        <v>7</v>
      </c>
      <c r="Z9" s="13"/>
      <c r="AG9" s="22" t="n">
        <v>0</v>
      </c>
      <c r="AH9" s="22" t="n">
        <v>0.583333333333333</v>
      </c>
      <c r="AI9" s="22" t="n">
        <v>0.166666666666667</v>
      </c>
      <c r="AJ9" s="22" t="n">
        <v>0.75</v>
      </c>
      <c r="AK9" s="22" t="n">
        <v>0.333333333333333</v>
      </c>
      <c r="AL9" s="22" t="n">
        <v>0.916666666666667</v>
      </c>
      <c r="AM9" s="22" t="n">
        <v>1.5</v>
      </c>
      <c r="AN9" s="13"/>
      <c r="AO9" s="22" t="n">
        <v>0</v>
      </c>
      <c r="AP9" s="22" t="n">
        <v>0.583333333333333</v>
      </c>
      <c r="AQ9" s="22" t="n">
        <v>0.166666666666667</v>
      </c>
      <c r="AR9" s="22" t="n">
        <v>0.75</v>
      </c>
      <c r="AS9" s="22" t="n">
        <v>0.333333333333333</v>
      </c>
      <c r="AT9" s="22" t="n">
        <v>0.916666666666667</v>
      </c>
      <c r="AU9" s="22" t="n">
        <v>1.5</v>
      </c>
      <c r="AV9" s="13"/>
      <c r="AW9" s="22" t="n">
        <v>0</v>
      </c>
      <c r="AX9" s="22" t="n">
        <v>0.583333333333333</v>
      </c>
      <c r="AY9" s="22" t="n">
        <v>0.166666666666667</v>
      </c>
      <c r="AZ9" s="31" t="n">
        <v>0.75</v>
      </c>
      <c r="BA9" s="22" t="n">
        <v>0.333333333333333</v>
      </c>
      <c r="BB9" s="22" t="n">
        <v>0.916666666666667</v>
      </c>
      <c r="BC9" s="22" t="n">
        <v>1.5</v>
      </c>
      <c r="BD9" s="13"/>
      <c r="BE9" s="13"/>
      <c r="BF9" s="13"/>
      <c r="BG9" s="28" t="n">
        <f aca="false">B9</f>
        <v>3</v>
      </c>
      <c r="BH9" s="28" t="n">
        <f aca="false">Y9</f>
        <v>7</v>
      </c>
      <c r="BI9" s="28" t="n">
        <f aca="false">D9+0.1</f>
        <v>6.1</v>
      </c>
      <c r="BJ9" s="28" t="n">
        <f aca="false">(E9*2)+0.1</f>
        <v>0.1</v>
      </c>
      <c r="BK9" s="28" t="n">
        <f aca="false">F9+0.1</f>
        <v>0.1</v>
      </c>
      <c r="BL9" s="28" t="n">
        <f aca="false">(G9*2)+0.1</f>
        <v>0.1</v>
      </c>
      <c r="BM9" s="28" t="n">
        <f aca="false">H9+0.1</f>
        <v>0.1</v>
      </c>
      <c r="BN9" s="28" t="n">
        <f aca="false">(I9*2)+0.1</f>
        <v>0.1</v>
      </c>
      <c r="BO9" s="28" t="n">
        <f aca="false">AW9</f>
        <v>0</v>
      </c>
      <c r="BP9" s="28" t="n">
        <f aca="false">AX9</f>
        <v>0.583333333333333</v>
      </c>
      <c r="BQ9" s="28" t="n">
        <f aca="false">AY9</f>
        <v>0.166666666666667</v>
      </c>
      <c r="BR9" s="28" t="n">
        <f aca="false">AZ9</f>
        <v>0.75</v>
      </c>
      <c r="BS9" s="28" t="n">
        <f aca="false">BA9</f>
        <v>0.333333333333333</v>
      </c>
      <c r="BT9" s="28" t="n">
        <f aca="false">BB9</f>
        <v>0.916666666666667</v>
      </c>
      <c r="BU9" s="28" t="n">
        <f aca="false">BC9</f>
        <v>1.5</v>
      </c>
    </row>
    <row r="10" customFormat="false" ht="18.3" hidden="false" customHeight="true" outlineLevel="0" collapsed="false">
      <c r="B10" s="12" t="n">
        <v>4</v>
      </c>
      <c r="C10" s="12"/>
      <c r="D10" s="12" t="n">
        <v>1</v>
      </c>
      <c r="E10" s="12" t="n">
        <v>0</v>
      </c>
      <c r="F10" s="12" t="n">
        <v>1</v>
      </c>
      <c r="G10" s="12" t="n">
        <v>0</v>
      </c>
      <c r="H10" s="12" t="n">
        <v>0</v>
      </c>
      <c r="I10" s="12" t="n">
        <v>0</v>
      </c>
      <c r="J10" s="13"/>
      <c r="K10" s="12"/>
      <c r="L10" s="12"/>
      <c r="M10" s="12"/>
      <c r="N10" s="12"/>
      <c r="O10" s="12"/>
      <c r="P10" s="30"/>
      <c r="Q10" s="29" t="n">
        <v>1</v>
      </c>
      <c r="R10" s="30" t="n">
        <v>1</v>
      </c>
      <c r="S10" s="30"/>
      <c r="T10" s="30"/>
      <c r="U10" s="30" t="n">
        <v>1</v>
      </c>
      <c r="V10" s="30" t="n">
        <v>1</v>
      </c>
      <c r="W10" s="18"/>
      <c r="X10" s="13"/>
      <c r="Y10" s="12" t="n">
        <f aca="false">COUNT(K10:W10)</f>
        <v>4</v>
      </c>
      <c r="Z10" s="13"/>
      <c r="AG10" s="22" t="n">
        <v>0</v>
      </c>
      <c r="AH10" s="22" t="n">
        <v>0.583333333333333</v>
      </c>
      <c r="AK10" s="22" t="n">
        <v>0.333333333333333</v>
      </c>
      <c r="AL10" s="22" t="n">
        <v>0.916666666666667</v>
      </c>
      <c r="AN10" s="13"/>
      <c r="AO10" s="22" t="n">
        <v>0</v>
      </c>
      <c r="AP10" s="22" t="n">
        <v>0.583333333333333</v>
      </c>
      <c r="AQ10" s="22"/>
      <c r="AR10" s="22"/>
      <c r="AS10" s="22" t="n">
        <v>0.333333333333333</v>
      </c>
      <c r="AT10" s="22" t="n">
        <v>0.916666666666667</v>
      </c>
      <c r="AU10" s="22"/>
      <c r="AV10" s="13"/>
      <c r="AW10" s="22" t="n">
        <v>0</v>
      </c>
      <c r="AX10" s="22" t="n">
        <v>0.583333333333333</v>
      </c>
      <c r="AY10" s="22" t="n">
        <v>0.583333333333333</v>
      </c>
      <c r="AZ10" s="22" t="n">
        <v>0.583333333333333</v>
      </c>
      <c r="BA10" s="22" t="n">
        <v>0.333333333333333</v>
      </c>
      <c r="BB10" s="22" t="n">
        <v>0.333333333333333</v>
      </c>
      <c r="BC10" s="22" t="n">
        <v>0.916666666666667</v>
      </c>
      <c r="BD10" s="13"/>
      <c r="BE10" s="13"/>
      <c r="BF10" s="13"/>
      <c r="BG10" s="28" t="n">
        <f aca="false">B10</f>
        <v>4</v>
      </c>
      <c r="BH10" s="28" t="n">
        <f aca="false">Y10</f>
        <v>4</v>
      </c>
      <c r="BI10" s="28" t="n">
        <f aca="false">D10+0.1</f>
        <v>1.1</v>
      </c>
      <c r="BJ10" s="28" t="n">
        <f aca="false">(E10*2)+0.1</f>
        <v>0.1</v>
      </c>
      <c r="BK10" s="28" t="n">
        <f aca="false">F10+0.1</f>
        <v>1.1</v>
      </c>
      <c r="BL10" s="28" t="n">
        <f aca="false">(G10*2)+0.1</f>
        <v>0.1</v>
      </c>
      <c r="BM10" s="28" t="n">
        <f aca="false">H10+0.1</f>
        <v>0.1</v>
      </c>
      <c r="BN10" s="28" t="n">
        <f aca="false">(I10*2)+0.1</f>
        <v>0.1</v>
      </c>
      <c r="BO10" s="28" t="n">
        <f aca="false">AW10</f>
        <v>0</v>
      </c>
      <c r="BP10" s="28" t="n">
        <f aca="false">AX10</f>
        <v>0.583333333333333</v>
      </c>
      <c r="BQ10" s="28" t="n">
        <f aca="false">AY10</f>
        <v>0.583333333333333</v>
      </c>
      <c r="BR10" s="28" t="n">
        <f aca="false">AZ10</f>
        <v>0.583333333333333</v>
      </c>
      <c r="BS10" s="28" t="n">
        <f aca="false">BA10</f>
        <v>0.333333333333333</v>
      </c>
      <c r="BT10" s="28" t="n">
        <f aca="false">BB10</f>
        <v>0.333333333333333</v>
      </c>
      <c r="BU10" s="28" t="n">
        <f aca="false">BC10</f>
        <v>0.916666666666667</v>
      </c>
    </row>
    <row r="11" customFormat="false" ht="18.3" hidden="false" customHeight="true" outlineLevel="0" collapsed="false">
      <c r="B11" s="12" t="n">
        <v>5</v>
      </c>
      <c r="C11" s="12"/>
      <c r="D11" s="12" t="n">
        <v>2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1</v>
      </c>
      <c r="J11" s="13"/>
      <c r="K11" s="12"/>
      <c r="L11" s="12"/>
      <c r="M11" s="12"/>
      <c r="N11" s="12"/>
      <c r="O11" s="12"/>
      <c r="P11" s="30"/>
      <c r="Q11" s="29" t="n">
        <v>1</v>
      </c>
      <c r="R11" s="12" t="n">
        <v>1</v>
      </c>
      <c r="S11" s="12" t="n">
        <v>1</v>
      </c>
      <c r="T11" s="12" t="n">
        <v>1</v>
      </c>
      <c r="U11" s="12" t="n">
        <v>1</v>
      </c>
      <c r="V11" s="30" t="n">
        <v>1</v>
      </c>
      <c r="W11" s="18"/>
      <c r="X11" s="13"/>
      <c r="Y11" s="12" t="n">
        <f aca="false">COUNT(K11:W11)</f>
        <v>6</v>
      </c>
      <c r="Z11" s="13"/>
      <c r="AG11" s="22" t="n">
        <v>0</v>
      </c>
      <c r="AH11" s="22" t="n">
        <v>0.583333333333333</v>
      </c>
      <c r="AI11" s="22" t="n">
        <v>0.166666666666667</v>
      </c>
      <c r="AJ11" s="22" t="n">
        <v>0.75</v>
      </c>
      <c r="AK11" s="22" t="n">
        <v>0.333333333333333</v>
      </c>
      <c r="AL11" s="22" t="n">
        <v>0.916666666666667</v>
      </c>
      <c r="AN11" s="13"/>
      <c r="AO11" s="22" t="n">
        <v>0</v>
      </c>
      <c r="AP11" s="22" t="n">
        <v>0.583333333333333</v>
      </c>
      <c r="AQ11" s="22" t="n">
        <v>0.166666666666667</v>
      </c>
      <c r="AR11" s="22" t="n">
        <v>0.75</v>
      </c>
      <c r="AS11" s="22" t="n">
        <v>0.333333333333333</v>
      </c>
      <c r="AT11" s="22" t="n">
        <v>0.916666666666667</v>
      </c>
      <c r="AU11" s="22"/>
      <c r="AV11" s="13"/>
      <c r="AW11" s="22" t="n">
        <v>0</v>
      </c>
      <c r="AX11" s="22" t="n">
        <v>0.583333333333333</v>
      </c>
      <c r="AY11" s="22" t="n">
        <v>0.166666666666667</v>
      </c>
      <c r="AZ11" s="31" t="n">
        <v>0.75</v>
      </c>
      <c r="BA11" s="22" t="n">
        <v>0.333333333333333</v>
      </c>
      <c r="BB11" s="22" t="n">
        <v>0.333333333333333</v>
      </c>
      <c r="BC11" s="22" t="n">
        <v>0.916666666666667</v>
      </c>
      <c r="BD11" s="13"/>
      <c r="BE11" s="13"/>
      <c r="BF11" s="13"/>
      <c r="BG11" s="28" t="n">
        <f aca="false">B11</f>
        <v>5</v>
      </c>
      <c r="BH11" s="28" t="n">
        <f aca="false">Y11</f>
        <v>6</v>
      </c>
      <c r="BI11" s="28" t="n">
        <f aca="false">D11+0.1</f>
        <v>2.1</v>
      </c>
      <c r="BJ11" s="28" t="n">
        <f aca="false">(E11*2)+0.1</f>
        <v>0.1</v>
      </c>
      <c r="BK11" s="28" t="n">
        <f aca="false">F11+0.1</f>
        <v>0.1</v>
      </c>
      <c r="BL11" s="28" t="n">
        <f aca="false">(G11*2)+0.1</f>
        <v>0.1</v>
      </c>
      <c r="BM11" s="28" t="n">
        <f aca="false">H11+0.1</f>
        <v>0.1</v>
      </c>
      <c r="BN11" s="28" t="n">
        <f aca="false">(I11*2)+0.1</f>
        <v>2.1</v>
      </c>
      <c r="BO11" s="28" t="n">
        <f aca="false">AW11</f>
        <v>0</v>
      </c>
      <c r="BP11" s="28" t="n">
        <f aca="false">AX11</f>
        <v>0.583333333333333</v>
      </c>
      <c r="BQ11" s="28" t="n">
        <f aca="false">AY11</f>
        <v>0.166666666666667</v>
      </c>
      <c r="BR11" s="28" t="n">
        <f aca="false">AZ11</f>
        <v>0.75</v>
      </c>
      <c r="BS11" s="28" t="n">
        <f aca="false">BA11</f>
        <v>0.333333333333333</v>
      </c>
      <c r="BT11" s="28" t="n">
        <f aca="false">BB11</f>
        <v>0.333333333333333</v>
      </c>
      <c r="BU11" s="28" t="n">
        <f aca="false">BC11</f>
        <v>0.916666666666667</v>
      </c>
    </row>
    <row r="12" customFormat="false" ht="18.3" hidden="false" customHeight="true" outlineLevel="0" collapsed="false">
      <c r="B12" s="12" t="n">
        <v>6</v>
      </c>
      <c r="C12" s="12"/>
      <c r="D12" s="12" t="n">
        <v>5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3"/>
      <c r="K12" s="12"/>
      <c r="L12" s="12"/>
      <c r="M12" s="12"/>
      <c r="N12" s="12"/>
      <c r="O12" s="12"/>
      <c r="P12" s="30"/>
      <c r="Q12" s="32" t="n">
        <v>1</v>
      </c>
      <c r="R12" s="20" t="n">
        <v>1</v>
      </c>
      <c r="S12" s="20" t="n">
        <v>1</v>
      </c>
      <c r="T12" s="20" t="n">
        <v>1</v>
      </c>
      <c r="U12" s="20" t="n">
        <v>1</v>
      </c>
      <c r="V12" s="20" t="n">
        <v>1</v>
      </c>
      <c r="W12" s="21"/>
      <c r="X12" s="13"/>
      <c r="Y12" s="12" t="n">
        <f aca="false">COUNT(K12:W12)</f>
        <v>6</v>
      </c>
      <c r="Z12" s="13"/>
      <c r="AG12" s="22" t="n">
        <v>0</v>
      </c>
      <c r="AH12" s="22" t="n">
        <v>0.583333333333333</v>
      </c>
      <c r="AI12" s="22" t="n">
        <v>0.166666666666667</v>
      </c>
      <c r="AJ12" s="22" t="n">
        <v>0.75</v>
      </c>
      <c r="AK12" s="22" t="n">
        <v>0.333333333333333</v>
      </c>
      <c r="AL12" s="22" t="n">
        <v>0.916666666666667</v>
      </c>
      <c r="AN12" s="13"/>
      <c r="AO12" s="22" t="n">
        <v>0</v>
      </c>
      <c r="AP12" s="22" t="n">
        <v>0.583333333333333</v>
      </c>
      <c r="AQ12" s="22" t="n">
        <v>0.166666666666667</v>
      </c>
      <c r="AR12" s="22" t="n">
        <v>0.75</v>
      </c>
      <c r="AS12" s="22" t="n">
        <v>0.333333333333333</v>
      </c>
      <c r="AT12" s="22" t="n">
        <v>0.916666666666667</v>
      </c>
      <c r="AU12" s="22"/>
      <c r="AV12" s="13"/>
      <c r="AW12" s="22" t="n">
        <v>0</v>
      </c>
      <c r="AX12" s="22" t="n">
        <v>0.583333333333333</v>
      </c>
      <c r="AY12" s="22" t="n">
        <v>0.166666666666667</v>
      </c>
      <c r="AZ12" s="31" t="n">
        <v>0.75</v>
      </c>
      <c r="BA12" s="22" t="n">
        <v>0.333333333333333</v>
      </c>
      <c r="BB12" s="22" t="n">
        <v>0.333333333333333</v>
      </c>
      <c r="BC12" s="22" t="n">
        <v>0.916666666666667</v>
      </c>
      <c r="BD12" s="13"/>
      <c r="BE12" s="13"/>
      <c r="BF12" s="13"/>
      <c r="BG12" s="28" t="n">
        <f aca="false">B12</f>
        <v>6</v>
      </c>
      <c r="BH12" s="28" t="n">
        <f aca="false">Y12</f>
        <v>6</v>
      </c>
      <c r="BI12" s="28" t="n">
        <f aca="false">D12+0.1</f>
        <v>5.1</v>
      </c>
      <c r="BJ12" s="28" t="n">
        <f aca="false">(E12*2)+0.1</f>
        <v>0.1</v>
      </c>
      <c r="BK12" s="28" t="n">
        <f aca="false">F12+0.1</f>
        <v>0.1</v>
      </c>
      <c r="BL12" s="28" t="n">
        <f aca="false">(G12*2)+0.1</f>
        <v>0.1</v>
      </c>
      <c r="BM12" s="28" t="n">
        <f aca="false">H12+0.1</f>
        <v>0.1</v>
      </c>
      <c r="BN12" s="28" t="n">
        <f aca="false">(I12*2)+0.1</f>
        <v>0.1</v>
      </c>
      <c r="BO12" s="28" t="n">
        <f aca="false">AW12</f>
        <v>0</v>
      </c>
      <c r="BP12" s="28" t="n">
        <f aca="false">AX12</f>
        <v>0.583333333333333</v>
      </c>
      <c r="BQ12" s="28" t="n">
        <f aca="false">AY12</f>
        <v>0.166666666666667</v>
      </c>
      <c r="BR12" s="28" t="n">
        <f aca="false">AZ12</f>
        <v>0.75</v>
      </c>
      <c r="BS12" s="28" t="n">
        <f aca="false">BA12</f>
        <v>0.333333333333333</v>
      </c>
      <c r="BT12" s="28" t="n">
        <f aca="false">BB12</f>
        <v>0.333333333333333</v>
      </c>
      <c r="BU12" s="28" t="n">
        <f aca="false">BC12</f>
        <v>0.916666666666667</v>
      </c>
    </row>
    <row r="13" customFormat="false" ht="18.3" hidden="false" customHeight="true" outlineLevel="0" collapsed="false">
      <c r="B13" s="12" t="n">
        <v>7</v>
      </c>
      <c r="C13" s="12"/>
      <c r="D13" s="12" t="n">
        <v>2</v>
      </c>
      <c r="E13" s="12" t="n">
        <v>1</v>
      </c>
      <c r="F13" s="12" t="n">
        <v>0</v>
      </c>
      <c r="G13" s="12" t="n">
        <v>0</v>
      </c>
      <c r="H13" s="12" t="n">
        <v>0</v>
      </c>
      <c r="I13" s="12" t="n">
        <v>1</v>
      </c>
      <c r="J13" s="13"/>
      <c r="K13" s="12"/>
      <c r="L13" s="12"/>
      <c r="M13" s="12"/>
      <c r="N13" s="12"/>
      <c r="O13" s="12"/>
      <c r="P13" s="27" t="n">
        <v>1</v>
      </c>
      <c r="Q13" s="15" t="n">
        <v>1</v>
      </c>
      <c r="R13" s="15" t="n">
        <v>1</v>
      </c>
      <c r="S13" s="15" t="n">
        <v>1</v>
      </c>
      <c r="T13" s="15" t="n">
        <v>1</v>
      </c>
      <c r="U13" s="15" t="n">
        <v>1</v>
      </c>
      <c r="V13" s="16" t="n">
        <v>1</v>
      </c>
      <c r="W13" s="12"/>
      <c r="X13" s="13"/>
      <c r="Y13" s="12" t="n">
        <f aca="false">COUNT(K13:W13)</f>
        <v>7</v>
      </c>
      <c r="Z13" s="13"/>
      <c r="AF13" s="22" t="n">
        <v>0.416666666666667</v>
      </c>
      <c r="AG13" s="22" t="n">
        <v>0</v>
      </c>
      <c r="AH13" s="22" t="n">
        <v>0.583333333333333</v>
      </c>
      <c r="AI13" s="22" t="n">
        <v>0.166666666666667</v>
      </c>
      <c r="AJ13" s="22" t="n">
        <v>0.75</v>
      </c>
      <c r="AK13" s="22" t="n">
        <v>1.333</v>
      </c>
      <c r="AL13" s="22" t="n">
        <v>0.916666666666667</v>
      </c>
      <c r="AN13" s="13"/>
      <c r="AO13" s="22" t="n">
        <v>0.416666666666667</v>
      </c>
      <c r="AP13" s="22" t="n">
        <v>0</v>
      </c>
      <c r="AQ13" s="22" t="n">
        <v>0.583333333333333</v>
      </c>
      <c r="AR13" s="22" t="n">
        <v>0.166666666666667</v>
      </c>
      <c r="AS13" s="22" t="n">
        <v>0.75</v>
      </c>
      <c r="AT13" s="22" t="n">
        <v>1.333</v>
      </c>
      <c r="AU13" s="22" t="n">
        <v>0.916666666666667</v>
      </c>
      <c r="AV13" s="13"/>
      <c r="AW13" s="22" t="n">
        <v>0.416666666666667</v>
      </c>
      <c r="AX13" s="22" t="n">
        <v>0</v>
      </c>
      <c r="AY13" s="22" t="n">
        <v>0.583333333333333</v>
      </c>
      <c r="AZ13" s="31" t="n">
        <v>0.166666666666667</v>
      </c>
      <c r="BA13" s="22" t="n">
        <v>0.75</v>
      </c>
      <c r="BB13" s="22" t="n">
        <v>1.333</v>
      </c>
      <c r="BC13" s="22" t="n">
        <v>0.916666666666667</v>
      </c>
      <c r="BD13" s="13"/>
      <c r="BE13" s="13"/>
      <c r="BF13" s="13"/>
      <c r="BG13" s="28" t="n">
        <f aca="false">B13</f>
        <v>7</v>
      </c>
      <c r="BH13" s="28" t="n">
        <f aca="false">Y13</f>
        <v>7</v>
      </c>
      <c r="BI13" s="28" t="n">
        <f aca="false">D13+0.1</f>
        <v>2.1</v>
      </c>
      <c r="BJ13" s="28" t="n">
        <f aca="false">(E13*2)+0.1</f>
        <v>2.1</v>
      </c>
      <c r="BK13" s="28" t="n">
        <f aca="false">F13+0.1</f>
        <v>0.1</v>
      </c>
      <c r="BL13" s="28" t="n">
        <f aca="false">(G13*2)+0.1</f>
        <v>0.1</v>
      </c>
      <c r="BM13" s="28" t="n">
        <f aca="false">H13+0.1</f>
        <v>0.1</v>
      </c>
      <c r="BN13" s="28" t="n">
        <f aca="false">(I13*2)+0.1</f>
        <v>2.1</v>
      </c>
      <c r="BO13" s="28" t="n">
        <f aca="false">AW13</f>
        <v>0.416666666666667</v>
      </c>
      <c r="BP13" s="28" t="n">
        <f aca="false">AX13</f>
        <v>0</v>
      </c>
      <c r="BQ13" s="28" t="n">
        <f aca="false">AY13</f>
        <v>0.583333333333333</v>
      </c>
      <c r="BR13" s="28" t="n">
        <f aca="false">AZ13</f>
        <v>0.166666666666667</v>
      </c>
      <c r="BS13" s="28" t="n">
        <f aca="false">BA13</f>
        <v>0.75</v>
      </c>
      <c r="BT13" s="28" t="n">
        <f aca="false">BB13</f>
        <v>1.333</v>
      </c>
      <c r="BU13" s="28" t="n">
        <f aca="false">BC13</f>
        <v>0.916666666666667</v>
      </c>
    </row>
    <row r="14" customFormat="false" ht="18.3" hidden="false" customHeight="true" outlineLevel="0" collapsed="false">
      <c r="B14" s="12" t="n">
        <v>8</v>
      </c>
      <c r="C14" s="12"/>
      <c r="D14" s="12" t="n">
        <v>5</v>
      </c>
      <c r="E14" s="12" t="n">
        <v>1</v>
      </c>
      <c r="F14" s="12" t="n">
        <v>0</v>
      </c>
      <c r="G14" s="12" t="n">
        <v>0</v>
      </c>
      <c r="H14" s="12" t="n">
        <v>0</v>
      </c>
      <c r="I14" s="12" t="n">
        <v>0</v>
      </c>
      <c r="J14" s="13"/>
      <c r="K14" s="12"/>
      <c r="L14" s="12"/>
      <c r="M14" s="12"/>
      <c r="N14" s="12"/>
      <c r="O14" s="12"/>
      <c r="P14" s="29" t="n">
        <v>1</v>
      </c>
      <c r="Q14" s="12" t="n">
        <v>1</v>
      </c>
      <c r="R14" s="12" t="n">
        <v>1</v>
      </c>
      <c r="S14" s="12" t="n">
        <v>1</v>
      </c>
      <c r="T14" s="12" t="n">
        <v>1</v>
      </c>
      <c r="U14" s="12" t="n">
        <v>1</v>
      </c>
      <c r="V14" s="18" t="n">
        <v>1</v>
      </c>
      <c r="W14" s="12"/>
      <c r="X14" s="13"/>
      <c r="Y14" s="12" t="n">
        <f aca="false">COUNT(K14:W14)</f>
        <v>7</v>
      </c>
      <c r="Z14" s="13"/>
      <c r="AF14" s="22" t="n">
        <v>0.416666666666667</v>
      </c>
      <c r="AG14" s="22" t="n">
        <v>0</v>
      </c>
      <c r="AH14" s="22" t="n">
        <v>0.583333333333333</v>
      </c>
      <c r="AI14" s="22" t="n">
        <v>0.166666666666667</v>
      </c>
      <c r="AJ14" s="22" t="n">
        <v>0.75</v>
      </c>
      <c r="AK14" s="22" t="n">
        <v>1.333</v>
      </c>
      <c r="AL14" s="22" t="n">
        <v>0.916666666666667</v>
      </c>
      <c r="AN14" s="13"/>
      <c r="AO14" s="22" t="n">
        <v>0.416666666666667</v>
      </c>
      <c r="AP14" s="22" t="n">
        <v>0</v>
      </c>
      <c r="AQ14" s="22" t="n">
        <v>0.583333333333333</v>
      </c>
      <c r="AR14" s="22" t="n">
        <v>0.166666666666667</v>
      </c>
      <c r="AS14" s="22" t="n">
        <v>0.75</v>
      </c>
      <c r="AT14" s="22" t="n">
        <v>1.333</v>
      </c>
      <c r="AU14" s="22" t="n">
        <v>0.916666666666667</v>
      </c>
      <c r="AV14" s="13"/>
      <c r="AW14" s="22" t="n">
        <v>0.416666666666667</v>
      </c>
      <c r="AX14" s="22" t="n">
        <v>0</v>
      </c>
      <c r="AY14" s="22" t="n">
        <v>0.583333333333333</v>
      </c>
      <c r="AZ14" s="31" t="n">
        <v>0.166666666666667</v>
      </c>
      <c r="BA14" s="22" t="n">
        <v>0.75</v>
      </c>
      <c r="BB14" s="22" t="n">
        <v>1.333</v>
      </c>
      <c r="BC14" s="22" t="n">
        <v>0.916666666666667</v>
      </c>
      <c r="BD14" s="13"/>
      <c r="BE14" s="13"/>
      <c r="BF14" s="13"/>
      <c r="BG14" s="28" t="n">
        <f aca="false">B14</f>
        <v>8</v>
      </c>
      <c r="BH14" s="28" t="n">
        <f aca="false">Y14</f>
        <v>7</v>
      </c>
      <c r="BI14" s="28" t="n">
        <f aca="false">D14+0.1</f>
        <v>5.1</v>
      </c>
      <c r="BJ14" s="28" t="n">
        <f aca="false">(E14*2)+0.1</f>
        <v>2.1</v>
      </c>
      <c r="BK14" s="28" t="n">
        <f aca="false">F14+0.1</f>
        <v>0.1</v>
      </c>
      <c r="BL14" s="28" t="n">
        <f aca="false">(G14*2)+0.1</f>
        <v>0.1</v>
      </c>
      <c r="BM14" s="28" t="n">
        <f aca="false">H14+0.1</f>
        <v>0.1</v>
      </c>
      <c r="BN14" s="28" t="n">
        <f aca="false">(I14*2)+0.1</f>
        <v>0.1</v>
      </c>
      <c r="BO14" s="28" t="n">
        <f aca="false">AW14</f>
        <v>0.416666666666667</v>
      </c>
      <c r="BP14" s="28" t="n">
        <f aca="false">AX14</f>
        <v>0</v>
      </c>
      <c r="BQ14" s="28" t="n">
        <f aca="false">AY14</f>
        <v>0.583333333333333</v>
      </c>
      <c r="BR14" s="28" t="n">
        <f aca="false">AZ14</f>
        <v>0.166666666666667</v>
      </c>
      <c r="BS14" s="28" t="n">
        <f aca="false">BA14</f>
        <v>0.75</v>
      </c>
      <c r="BT14" s="28" t="n">
        <f aca="false">BB14</f>
        <v>1.333</v>
      </c>
      <c r="BU14" s="28" t="n">
        <f aca="false">BC14</f>
        <v>0.916666666666667</v>
      </c>
    </row>
    <row r="15" customFormat="false" ht="18.3" hidden="false" customHeight="true" outlineLevel="0" collapsed="false">
      <c r="B15" s="12" t="n">
        <v>9</v>
      </c>
      <c r="C15" s="12"/>
      <c r="D15" s="12" t="n">
        <v>1</v>
      </c>
      <c r="E15" s="12" t="n">
        <v>1</v>
      </c>
      <c r="F15" s="12" t="n">
        <v>1</v>
      </c>
      <c r="G15" s="12" t="n">
        <v>0</v>
      </c>
      <c r="H15" s="12" t="n">
        <v>0</v>
      </c>
      <c r="I15" s="12" t="n">
        <v>0</v>
      </c>
      <c r="J15" s="13"/>
      <c r="K15" s="12"/>
      <c r="L15" s="12"/>
      <c r="M15" s="12"/>
      <c r="N15" s="12"/>
      <c r="O15" s="12"/>
      <c r="P15" s="29" t="n">
        <v>1</v>
      </c>
      <c r="Q15" s="12" t="n">
        <v>1</v>
      </c>
      <c r="R15" s="12" t="n">
        <v>1</v>
      </c>
      <c r="S15" s="12"/>
      <c r="T15" s="12" t="n">
        <v>1</v>
      </c>
      <c r="U15" s="12" t="n">
        <v>1</v>
      </c>
      <c r="V15" s="18" t="n">
        <v>1</v>
      </c>
      <c r="W15" s="12"/>
      <c r="X15" s="13"/>
      <c r="Y15" s="12" t="n">
        <f aca="false">COUNT(K15:W15)</f>
        <v>6</v>
      </c>
      <c r="Z15" s="13"/>
      <c r="AF15" s="22" t="n">
        <v>0.416666666666667</v>
      </c>
      <c r="AG15" s="22" t="n">
        <v>0</v>
      </c>
      <c r="AH15" s="22" t="n">
        <v>0.583333333333333</v>
      </c>
      <c r="AJ15" s="22" t="n">
        <v>0.75</v>
      </c>
      <c r="AK15" s="22" t="n">
        <v>1.333</v>
      </c>
      <c r="AL15" s="22" t="n">
        <v>0.916666666666667</v>
      </c>
      <c r="AN15" s="13"/>
      <c r="AO15" s="22" t="n">
        <v>0.416666666666667</v>
      </c>
      <c r="AP15" s="22" t="n">
        <v>0</v>
      </c>
      <c r="AQ15" s="22" t="n">
        <v>0.583333333333333</v>
      </c>
      <c r="AR15" s="22"/>
      <c r="AS15" s="22" t="n">
        <v>0.75</v>
      </c>
      <c r="AT15" s="22" t="n">
        <v>1.333</v>
      </c>
      <c r="AU15" s="22" t="n">
        <v>0.916666666666667</v>
      </c>
      <c r="AV15" s="13"/>
      <c r="AW15" s="22" t="n">
        <v>0.416666666666667</v>
      </c>
      <c r="AX15" s="22" t="n">
        <v>0</v>
      </c>
      <c r="AY15" s="22" t="n">
        <v>0.583333333333333</v>
      </c>
      <c r="AZ15" s="22" t="n">
        <v>0.583333333333333</v>
      </c>
      <c r="BA15" s="22" t="n">
        <v>0.75</v>
      </c>
      <c r="BB15" s="22" t="n">
        <v>1.333</v>
      </c>
      <c r="BC15" s="22" t="n">
        <v>0.916666666666667</v>
      </c>
      <c r="BD15" s="13"/>
      <c r="BE15" s="13"/>
      <c r="BF15" s="13"/>
      <c r="BG15" s="28" t="n">
        <f aca="false">B15</f>
        <v>9</v>
      </c>
      <c r="BH15" s="28" t="n">
        <f aca="false">Y15</f>
        <v>6</v>
      </c>
      <c r="BI15" s="28" t="n">
        <f aca="false">D15+0.1</f>
        <v>1.1</v>
      </c>
      <c r="BJ15" s="28" t="n">
        <f aca="false">(E15*2)+0.1</f>
        <v>2.1</v>
      </c>
      <c r="BK15" s="28" t="n">
        <f aca="false">F15+0.1</f>
        <v>1.1</v>
      </c>
      <c r="BL15" s="28" t="n">
        <f aca="false">(G15*2)+0.1</f>
        <v>0.1</v>
      </c>
      <c r="BM15" s="28" t="n">
        <f aca="false">H15+0.1</f>
        <v>0.1</v>
      </c>
      <c r="BN15" s="28" t="n">
        <f aca="false">(I15*2)+0.1</f>
        <v>0.1</v>
      </c>
      <c r="BO15" s="28" t="n">
        <f aca="false">AW15</f>
        <v>0.416666666666667</v>
      </c>
      <c r="BP15" s="28" t="n">
        <f aca="false">AX15</f>
        <v>0</v>
      </c>
      <c r="BQ15" s="28" t="n">
        <f aca="false">AY15</f>
        <v>0.583333333333333</v>
      </c>
      <c r="BR15" s="28" t="n">
        <f aca="false">AZ15</f>
        <v>0.583333333333333</v>
      </c>
      <c r="BS15" s="28" t="n">
        <f aca="false">BA15</f>
        <v>0.75</v>
      </c>
      <c r="BT15" s="28" t="n">
        <f aca="false">BB15</f>
        <v>1.333</v>
      </c>
      <c r="BU15" s="28" t="n">
        <f aca="false">BC15</f>
        <v>0.916666666666667</v>
      </c>
    </row>
    <row r="16" customFormat="false" ht="18.3" hidden="false" customHeight="true" outlineLevel="0" collapsed="false">
      <c r="B16" s="12" t="n">
        <v>10</v>
      </c>
      <c r="C16" s="12"/>
      <c r="D16" s="12" t="n">
        <v>1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1</v>
      </c>
      <c r="J16" s="13"/>
      <c r="K16" s="12"/>
      <c r="L16" s="12"/>
      <c r="M16" s="12"/>
      <c r="N16" s="12"/>
      <c r="O16" s="30"/>
      <c r="P16" s="17"/>
      <c r="Q16" s="33" t="n">
        <v>1</v>
      </c>
      <c r="R16" s="12" t="n">
        <v>1</v>
      </c>
      <c r="S16" s="12"/>
      <c r="T16" s="12" t="n">
        <v>1</v>
      </c>
      <c r="U16" s="30" t="n">
        <v>1</v>
      </c>
      <c r="V16" s="18"/>
      <c r="W16" s="12"/>
      <c r="X16" s="13"/>
      <c r="Y16" s="12" t="n">
        <f aca="false">COUNT(K16:W16)</f>
        <v>4</v>
      </c>
      <c r="Z16" s="13"/>
      <c r="AG16" s="22" t="n">
        <v>0</v>
      </c>
      <c r="AH16" s="22" t="n">
        <v>0.583333333333333</v>
      </c>
      <c r="AJ16" s="22" t="n">
        <v>0.75</v>
      </c>
      <c r="AK16" s="22" t="n">
        <v>0.333333333333333</v>
      </c>
      <c r="AN16" s="13"/>
      <c r="AO16" s="22"/>
      <c r="AP16" s="22" t="n">
        <v>0</v>
      </c>
      <c r="AQ16" s="22" t="n">
        <v>0.583333333333333</v>
      </c>
      <c r="AR16" s="22"/>
      <c r="AS16" s="22" t="n">
        <v>0.75</v>
      </c>
      <c r="AT16" s="22" t="n">
        <v>0.333333333333333</v>
      </c>
      <c r="AU16" s="22"/>
      <c r="AV16" s="13"/>
      <c r="AW16" s="22" t="n">
        <v>0</v>
      </c>
      <c r="AX16" s="22" t="n">
        <v>0.583333333333333</v>
      </c>
      <c r="AY16" s="22" t="n">
        <v>0.583333333333333</v>
      </c>
      <c r="AZ16" s="22" t="n">
        <v>0.75</v>
      </c>
      <c r="BA16" s="22" t="n">
        <v>0.75</v>
      </c>
      <c r="BB16" s="22" t="n">
        <v>0.75</v>
      </c>
      <c r="BC16" s="22" t="n">
        <v>0.333333333333333</v>
      </c>
      <c r="BD16" s="13"/>
      <c r="BE16" s="13"/>
      <c r="BF16" s="13"/>
      <c r="BG16" s="28" t="n">
        <f aca="false">B16</f>
        <v>10</v>
      </c>
      <c r="BH16" s="28" t="n">
        <f aca="false">Y16</f>
        <v>4</v>
      </c>
      <c r="BI16" s="28" t="n">
        <f aca="false">D16+0.1</f>
        <v>1.1</v>
      </c>
      <c r="BJ16" s="28" t="n">
        <f aca="false">(E16*2)+0.1</f>
        <v>0.1</v>
      </c>
      <c r="BK16" s="28" t="n">
        <f aca="false">F16+0.1</f>
        <v>0.1</v>
      </c>
      <c r="BL16" s="28" t="n">
        <f aca="false">(G16*2)+0.1</f>
        <v>0.1</v>
      </c>
      <c r="BM16" s="28" t="n">
        <f aca="false">H16+0.1</f>
        <v>0.1</v>
      </c>
      <c r="BN16" s="28" t="n">
        <f aca="false">(I16*2)+0.1</f>
        <v>2.1</v>
      </c>
      <c r="BO16" s="28" t="n">
        <f aca="false">AW16</f>
        <v>0</v>
      </c>
      <c r="BP16" s="28" t="n">
        <f aca="false">AX16</f>
        <v>0.583333333333333</v>
      </c>
      <c r="BQ16" s="28" t="n">
        <f aca="false">AY16</f>
        <v>0.583333333333333</v>
      </c>
      <c r="BR16" s="28" t="n">
        <f aca="false">AZ16</f>
        <v>0.75</v>
      </c>
      <c r="BS16" s="28" t="n">
        <f aca="false">BA16</f>
        <v>0.75</v>
      </c>
      <c r="BT16" s="28" t="n">
        <f aca="false">BB16</f>
        <v>0.75</v>
      </c>
      <c r="BU16" s="28" t="n">
        <f aca="false">BC16</f>
        <v>0.333333333333333</v>
      </c>
    </row>
    <row r="17" customFormat="false" ht="18.3" hidden="false" customHeight="true" outlineLevel="0" collapsed="false">
      <c r="B17" s="12" t="n">
        <v>11</v>
      </c>
      <c r="C17" s="12"/>
      <c r="D17" s="12" t="n">
        <v>4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3"/>
      <c r="K17" s="12"/>
      <c r="L17" s="12"/>
      <c r="M17" s="12"/>
      <c r="N17" s="12"/>
      <c r="O17" s="30"/>
      <c r="P17" s="17"/>
      <c r="Q17" s="33" t="n">
        <v>1</v>
      </c>
      <c r="R17" s="12" t="n">
        <v>1</v>
      </c>
      <c r="S17" s="12" t="n">
        <v>1</v>
      </c>
      <c r="T17" s="12" t="n">
        <v>1</v>
      </c>
      <c r="U17" s="30" t="n">
        <v>1</v>
      </c>
      <c r="V17" s="18"/>
      <c r="W17" s="12"/>
      <c r="X17" s="13"/>
      <c r="Y17" s="12" t="n">
        <f aca="false">COUNT(K17:W17)</f>
        <v>5</v>
      </c>
      <c r="Z17" s="13"/>
      <c r="AG17" s="22" t="n">
        <v>0</v>
      </c>
      <c r="AH17" s="22" t="n">
        <v>0.583333333333333</v>
      </c>
      <c r="AI17" s="22" t="n">
        <v>0.166666666666667</v>
      </c>
      <c r="AJ17" s="22" t="n">
        <v>0.75</v>
      </c>
      <c r="AK17" s="22" t="n">
        <v>0.333333333333333</v>
      </c>
      <c r="AN17" s="13"/>
      <c r="AO17" s="22"/>
      <c r="AP17" s="22" t="n">
        <v>0</v>
      </c>
      <c r="AQ17" s="22" t="n">
        <v>0.583333333333333</v>
      </c>
      <c r="AR17" s="22" t="n">
        <v>0.166666666666667</v>
      </c>
      <c r="AS17" s="22" t="n">
        <v>0.75</v>
      </c>
      <c r="AT17" s="22" t="n">
        <v>0.333333333333333</v>
      </c>
      <c r="AU17" s="22"/>
      <c r="AV17" s="13"/>
      <c r="AW17" s="22" t="n">
        <v>0</v>
      </c>
      <c r="AX17" s="22" t="n">
        <v>0.583333333333333</v>
      </c>
      <c r="AY17" s="22" t="n">
        <v>0.583333333333333</v>
      </c>
      <c r="AZ17" s="31" t="n">
        <v>0.166666666666667</v>
      </c>
      <c r="BA17" s="22" t="n">
        <v>0.75</v>
      </c>
      <c r="BB17" s="22" t="n">
        <v>0.75</v>
      </c>
      <c r="BC17" s="22" t="n">
        <v>0.333333333333333</v>
      </c>
      <c r="BD17" s="13"/>
      <c r="BE17" s="13"/>
      <c r="BF17" s="13"/>
      <c r="BG17" s="28" t="n">
        <f aca="false">B17</f>
        <v>11</v>
      </c>
      <c r="BH17" s="28" t="n">
        <f aca="false">Y17</f>
        <v>5</v>
      </c>
      <c r="BI17" s="28" t="n">
        <f aca="false">D17+0.1</f>
        <v>4.1</v>
      </c>
      <c r="BJ17" s="28" t="n">
        <f aca="false">(E17*2)+0.1</f>
        <v>0.1</v>
      </c>
      <c r="BK17" s="28" t="n">
        <f aca="false">F17+0.1</f>
        <v>0.1</v>
      </c>
      <c r="BL17" s="28" t="n">
        <f aca="false">(G17*2)+0.1</f>
        <v>0.1</v>
      </c>
      <c r="BM17" s="28" t="n">
        <f aca="false">H17+0.1</f>
        <v>0.1</v>
      </c>
      <c r="BN17" s="28" t="n">
        <f aca="false">(I17*2)+0.1</f>
        <v>0.1</v>
      </c>
      <c r="BO17" s="28" t="n">
        <f aca="false">AW17</f>
        <v>0</v>
      </c>
      <c r="BP17" s="28" t="n">
        <f aca="false">AX17</f>
        <v>0.583333333333333</v>
      </c>
      <c r="BQ17" s="28" t="n">
        <f aca="false">AY17</f>
        <v>0.583333333333333</v>
      </c>
      <c r="BR17" s="28" t="n">
        <f aca="false">AZ17</f>
        <v>0.166666666666667</v>
      </c>
      <c r="BS17" s="28" t="n">
        <f aca="false">BA17</f>
        <v>0.75</v>
      </c>
      <c r="BT17" s="28" t="n">
        <f aca="false">BB17</f>
        <v>0.75</v>
      </c>
      <c r="BU17" s="28" t="n">
        <f aca="false">BC17</f>
        <v>0.333333333333333</v>
      </c>
    </row>
    <row r="18" customFormat="false" ht="18.3" hidden="false" customHeight="true" outlineLevel="0" collapsed="false">
      <c r="B18" s="12" t="n">
        <v>12</v>
      </c>
      <c r="C18" s="12"/>
      <c r="D18" s="12" t="n">
        <v>1</v>
      </c>
      <c r="E18" s="12" t="n">
        <v>1</v>
      </c>
      <c r="F18" s="12" t="n">
        <v>0</v>
      </c>
      <c r="G18" s="12" t="n">
        <v>0</v>
      </c>
      <c r="H18" s="12" t="n">
        <v>0</v>
      </c>
      <c r="I18" s="12" t="n">
        <v>1</v>
      </c>
      <c r="J18" s="13"/>
      <c r="K18" s="12"/>
      <c r="L18" s="12"/>
      <c r="M18" s="12"/>
      <c r="N18" s="12"/>
      <c r="O18" s="30"/>
      <c r="P18" s="29" t="n">
        <v>1</v>
      </c>
      <c r="Q18" s="12" t="n">
        <v>1</v>
      </c>
      <c r="R18" s="12" t="n">
        <v>1</v>
      </c>
      <c r="S18" s="12" t="n">
        <v>1</v>
      </c>
      <c r="T18" s="12" t="n">
        <v>1</v>
      </c>
      <c r="U18" s="30" t="n">
        <v>1</v>
      </c>
      <c r="V18" s="18"/>
      <c r="W18" s="12"/>
      <c r="X18" s="13"/>
      <c r="Y18" s="12" t="n">
        <f aca="false">COUNT(K18:W18)</f>
        <v>6</v>
      </c>
      <c r="Z18" s="13"/>
      <c r="AF18" s="22" t="n">
        <v>0.416666666666667</v>
      </c>
      <c r="AG18" s="22" t="n">
        <v>0</v>
      </c>
      <c r="AH18" s="22" t="n">
        <v>0.583333333333333</v>
      </c>
      <c r="AI18" s="22" t="n">
        <v>0.166666666666667</v>
      </c>
      <c r="AJ18" s="22" t="n">
        <v>0.75</v>
      </c>
      <c r="AK18" s="22" t="n">
        <v>1.333</v>
      </c>
      <c r="AN18" s="13"/>
      <c r="AO18" s="22" t="n">
        <v>0.416666666666667</v>
      </c>
      <c r="AP18" s="22" t="n">
        <v>0</v>
      </c>
      <c r="AQ18" s="22" t="n">
        <v>0.583333333333333</v>
      </c>
      <c r="AR18" s="22" t="n">
        <v>0.166666666666667</v>
      </c>
      <c r="AS18" s="22" t="n">
        <v>0.75</v>
      </c>
      <c r="AT18" s="22" t="n">
        <v>1.333</v>
      </c>
      <c r="AU18" s="22"/>
      <c r="AV18" s="13"/>
      <c r="AW18" s="22" t="n">
        <v>0.416666666666667</v>
      </c>
      <c r="AX18" s="22" t="n">
        <v>0</v>
      </c>
      <c r="AY18" s="22" t="n">
        <v>0.583333333333333</v>
      </c>
      <c r="AZ18" s="31" t="n">
        <v>0.166666666666667</v>
      </c>
      <c r="BA18" s="22" t="n">
        <v>0.75</v>
      </c>
      <c r="BB18" s="22" t="n">
        <v>0.75</v>
      </c>
      <c r="BC18" s="22" t="n">
        <v>1.333</v>
      </c>
      <c r="BD18" s="13"/>
      <c r="BE18" s="13"/>
      <c r="BF18" s="13"/>
      <c r="BG18" s="28" t="n">
        <f aca="false">B18</f>
        <v>12</v>
      </c>
      <c r="BH18" s="28" t="n">
        <f aca="false">Y18</f>
        <v>6</v>
      </c>
      <c r="BI18" s="28" t="n">
        <f aca="false">D18+0.1</f>
        <v>1.1</v>
      </c>
      <c r="BJ18" s="28" t="n">
        <f aca="false">(E18*2)+0.1</f>
        <v>2.1</v>
      </c>
      <c r="BK18" s="28" t="n">
        <f aca="false">F18+0.1</f>
        <v>0.1</v>
      </c>
      <c r="BL18" s="28" t="n">
        <f aca="false">(G18*2)+0.1</f>
        <v>0.1</v>
      </c>
      <c r="BM18" s="28" t="n">
        <f aca="false">H18+0.1</f>
        <v>0.1</v>
      </c>
      <c r="BN18" s="28" t="n">
        <f aca="false">(I18*2)+0.1</f>
        <v>2.1</v>
      </c>
      <c r="BO18" s="28" t="n">
        <f aca="false">AW18</f>
        <v>0.416666666666667</v>
      </c>
      <c r="BP18" s="28" t="n">
        <f aca="false">AX18</f>
        <v>0</v>
      </c>
      <c r="BQ18" s="28" t="n">
        <f aca="false">AY18</f>
        <v>0.583333333333333</v>
      </c>
      <c r="BR18" s="28" t="n">
        <f aca="false">AZ18</f>
        <v>0.166666666666667</v>
      </c>
      <c r="BS18" s="28" t="n">
        <f aca="false">BA18</f>
        <v>0.75</v>
      </c>
      <c r="BT18" s="28" t="n">
        <f aca="false">BB18</f>
        <v>0.75</v>
      </c>
      <c r="BU18" s="28" t="n">
        <f aca="false">BC18</f>
        <v>1.333</v>
      </c>
    </row>
    <row r="19" customFormat="false" ht="18.3" hidden="false" customHeight="true" outlineLevel="0" collapsed="false">
      <c r="B19" s="12" t="n">
        <v>13</v>
      </c>
      <c r="C19" s="12"/>
      <c r="D19" s="12" t="n">
        <v>0</v>
      </c>
      <c r="E19" s="12" t="n">
        <v>1</v>
      </c>
      <c r="F19" s="12" t="n">
        <v>1</v>
      </c>
      <c r="G19" s="12" t="n">
        <v>0</v>
      </c>
      <c r="H19" s="12" t="n">
        <v>0</v>
      </c>
      <c r="I19" s="12" t="n">
        <v>0</v>
      </c>
      <c r="J19" s="13"/>
      <c r="K19" s="12"/>
      <c r="L19" s="12"/>
      <c r="M19" s="12"/>
      <c r="N19" s="12"/>
      <c r="O19" s="30"/>
      <c r="P19" s="29" t="n">
        <v>1</v>
      </c>
      <c r="Q19" s="30" t="n">
        <v>1</v>
      </c>
      <c r="R19" s="30"/>
      <c r="S19" s="30"/>
      <c r="T19" s="30" t="n">
        <v>1</v>
      </c>
      <c r="U19" s="30" t="n">
        <v>1</v>
      </c>
      <c r="V19" s="18"/>
      <c r="W19" s="12"/>
      <c r="X19" s="13"/>
      <c r="Y19" s="12" t="n">
        <f aca="false">COUNT(K19:W19)</f>
        <v>4</v>
      </c>
      <c r="Z19" s="13"/>
      <c r="AF19" s="22" t="n">
        <v>0.416666666666667</v>
      </c>
      <c r="AG19" s="22" t="n">
        <v>0</v>
      </c>
      <c r="AJ19" s="22" t="n">
        <v>0.75</v>
      </c>
      <c r="AK19" s="22" t="n">
        <v>1.333</v>
      </c>
      <c r="AN19" s="13"/>
      <c r="AO19" s="22" t="n">
        <v>0.416666666666667</v>
      </c>
      <c r="AP19" s="22" t="n">
        <v>0</v>
      </c>
      <c r="AQ19" s="22"/>
      <c r="AR19" s="22"/>
      <c r="AS19" s="22" t="n">
        <v>0.75</v>
      </c>
      <c r="AT19" s="22" t="n">
        <v>1.333</v>
      </c>
      <c r="AU19" s="22"/>
      <c r="AV19" s="13"/>
      <c r="AW19" s="22" t="n">
        <v>0.416666666666667</v>
      </c>
      <c r="AX19" s="22" t="n">
        <v>0</v>
      </c>
      <c r="AY19" s="22" t="n">
        <v>0</v>
      </c>
      <c r="AZ19" s="22" t="n">
        <v>0.75</v>
      </c>
      <c r="BA19" s="22" t="n">
        <v>0.75</v>
      </c>
      <c r="BB19" s="22" t="n">
        <v>0.75</v>
      </c>
      <c r="BC19" s="22" t="n">
        <v>1.333</v>
      </c>
      <c r="BD19" s="13"/>
      <c r="BE19" s="13"/>
      <c r="BF19" s="13"/>
      <c r="BG19" s="28" t="n">
        <f aca="false">B19</f>
        <v>13</v>
      </c>
      <c r="BH19" s="28" t="n">
        <f aca="false">Y19</f>
        <v>4</v>
      </c>
      <c r="BI19" s="28" t="n">
        <f aca="false">D19+0.1</f>
        <v>0.1</v>
      </c>
      <c r="BJ19" s="28" t="n">
        <f aca="false">(E19*2)+0.1</f>
        <v>2.1</v>
      </c>
      <c r="BK19" s="28" t="n">
        <f aca="false">F19+0.1</f>
        <v>1.1</v>
      </c>
      <c r="BL19" s="28" t="n">
        <f aca="false">(G19*2)+0.1</f>
        <v>0.1</v>
      </c>
      <c r="BM19" s="28" t="n">
        <f aca="false">H19+0.1</f>
        <v>0.1</v>
      </c>
      <c r="BN19" s="28" t="n">
        <f aca="false">(I19*2)+0.1</f>
        <v>0.1</v>
      </c>
      <c r="BO19" s="28" t="n">
        <f aca="false">AW19</f>
        <v>0.416666666666667</v>
      </c>
      <c r="BP19" s="28" t="n">
        <f aca="false">AX19</f>
        <v>0</v>
      </c>
      <c r="BQ19" s="28" t="n">
        <f aca="false">AY19</f>
        <v>0</v>
      </c>
      <c r="BR19" s="28" t="n">
        <f aca="false">AZ19</f>
        <v>0.75</v>
      </c>
      <c r="BS19" s="28" t="n">
        <f aca="false">BA19</f>
        <v>0.75</v>
      </c>
      <c r="BT19" s="28" t="n">
        <f aca="false">BB19</f>
        <v>0.75</v>
      </c>
      <c r="BU19" s="28" t="n">
        <f aca="false">BC19</f>
        <v>1.333</v>
      </c>
    </row>
    <row r="20" customFormat="false" ht="18.3" hidden="false" customHeight="true" outlineLevel="0" collapsed="false">
      <c r="B20" s="12" t="n">
        <v>14</v>
      </c>
      <c r="C20" s="12"/>
      <c r="D20" s="12" t="n">
        <v>4</v>
      </c>
      <c r="E20" s="12" t="n">
        <v>1</v>
      </c>
      <c r="F20" s="12" t="n">
        <v>0</v>
      </c>
      <c r="G20" s="12" t="n">
        <v>0</v>
      </c>
      <c r="H20" s="12" t="n">
        <v>0</v>
      </c>
      <c r="I20" s="12" t="n">
        <v>0</v>
      </c>
      <c r="J20" s="13"/>
      <c r="K20" s="12"/>
      <c r="L20" s="12"/>
      <c r="M20" s="12"/>
      <c r="N20" s="12"/>
      <c r="O20" s="30"/>
      <c r="P20" s="32" t="n">
        <v>1</v>
      </c>
      <c r="Q20" s="20" t="n">
        <v>1</v>
      </c>
      <c r="R20" s="20" t="n">
        <v>1</v>
      </c>
      <c r="S20" s="20" t="n">
        <v>1</v>
      </c>
      <c r="T20" s="20" t="n">
        <v>1</v>
      </c>
      <c r="U20" s="20" t="n">
        <v>1</v>
      </c>
      <c r="V20" s="21"/>
      <c r="W20" s="12"/>
      <c r="X20" s="13"/>
      <c r="Y20" s="12" t="n">
        <f aca="false">COUNT(K20:W20)</f>
        <v>6</v>
      </c>
      <c r="Z20" s="13"/>
      <c r="AF20" s="22" t="n">
        <v>0.416666666666667</v>
      </c>
      <c r="AG20" s="22" t="n">
        <v>0</v>
      </c>
      <c r="AH20" s="22" t="n">
        <v>0.583333333333333</v>
      </c>
      <c r="AI20" s="22" t="n">
        <v>0.166666666666667</v>
      </c>
      <c r="AJ20" s="22" t="n">
        <v>0.75</v>
      </c>
      <c r="AK20" s="22" t="n">
        <v>1.333</v>
      </c>
      <c r="AN20" s="13"/>
      <c r="AO20" s="22" t="n">
        <v>0.416666666666667</v>
      </c>
      <c r="AP20" s="22" t="n">
        <v>0</v>
      </c>
      <c r="AQ20" s="22" t="n">
        <v>0.583333333333333</v>
      </c>
      <c r="AR20" s="22" t="n">
        <v>0.166666666666667</v>
      </c>
      <c r="AS20" s="22" t="n">
        <v>0.75</v>
      </c>
      <c r="AT20" s="22" t="n">
        <v>1.333</v>
      </c>
      <c r="AU20" s="22"/>
      <c r="AV20" s="13"/>
      <c r="AW20" s="22" t="n">
        <v>0.416666666666667</v>
      </c>
      <c r="AX20" s="22" t="n">
        <v>0</v>
      </c>
      <c r="AY20" s="22" t="n">
        <v>0.583333333333333</v>
      </c>
      <c r="AZ20" s="31" t="n">
        <v>0.166666666666667</v>
      </c>
      <c r="BA20" s="22" t="n">
        <v>0.75</v>
      </c>
      <c r="BB20" s="22" t="n">
        <v>0.75</v>
      </c>
      <c r="BC20" s="22" t="n">
        <v>1.333</v>
      </c>
      <c r="BD20" s="13"/>
      <c r="BE20" s="13"/>
      <c r="BF20" s="13"/>
      <c r="BG20" s="28" t="n">
        <f aca="false">B20</f>
        <v>14</v>
      </c>
      <c r="BH20" s="28" t="n">
        <f aca="false">Y20</f>
        <v>6</v>
      </c>
      <c r="BI20" s="28" t="n">
        <f aca="false">D20+0.1</f>
        <v>4.1</v>
      </c>
      <c r="BJ20" s="28" t="n">
        <f aca="false">(E20*2)+0.1</f>
        <v>2.1</v>
      </c>
      <c r="BK20" s="28" t="n">
        <f aca="false">F20+0.1</f>
        <v>0.1</v>
      </c>
      <c r="BL20" s="28" t="n">
        <f aca="false">(G20*2)+0.1</f>
        <v>0.1</v>
      </c>
      <c r="BM20" s="28" t="n">
        <f aca="false">H20+0.1</f>
        <v>0.1</v>
      </c>
      <c r="BN20" s="28" t="n">
        <f aca="false">(I20*2)+0.1</f>
        <v>0.1</v>
      </c>
      <c r="BO20" s="28" t="n">
        <f aca="false">AW20</f>
        <v>0.416666666666667</v>
      </c>
      <c r="BP20" s="28" t="n">
        <f aca="false">AX20</f>
        <v>0</v>
      </c>
      <c r="BQ20" s="28" t="n">
        <f aca="false">AY20</f>
        <v>0.583333333333333</v>
      </c>
      <c r="BR20" s="28" t="n">
        <f aca="false">AZ20</f>
        <v>0.166666666666667</v>
      </c>
      <c r="BS20" s="28" t="n">
        <f aca="false">BA20</f>
        <v>0.75</v>
      </c>
      <c r="BT20" s="28" t="n">
        <f aca="false">BB20</f>
        <v>0.75</v>
      </c>
      <c r="BU20" s="28" t="n">
        <f aca="false">BC20</f>
        <v>1.333</v>
      </c>
    </row>
    <row r="21" customFormat="false" ht="18.3" hidden="false" customHeight="true" outlineLevel="0" collapsed="false">
      <c r="B21" s="12" t="n">
        <v>15</v>
      </c>
      <c r="C21" s="12"/>
      <c r="D21" s="12" t="n">
        <v>3</v>
      </c>
      <c r="E21" s="12" t="n">
        <v>2</v>
      </c>
      <c r="F21" s="12" t="n">
        <v>0</v>
      </c>
      <c r="G21" s="12" t="n">
        <v>0</v>
      </c>
      <c r="H21" s="12" t="n">
        <v>0</v>
      </c>
      <c r="I21" s="12" t="n">
        <v>0</v>
      </c>
      <c r="J21" s="13"/>
      <c r="K21" s="12"/>
      <c r="L21" s="12"/>
      <c r="M21" s="12"/>
      <c r="N21" s="12"/>
      <c r="O21" s="27" t="n">
        <v>1</v>
      </c>
      <c r="P21" s="15"/>
      <c r="Q21" s="15" t="n">
        <v>1</v>
      </c>
      <c r="R21" s="15" t="n">
        <v>1</v>
      </c>
      <c r="S21" s="15" t="n">
        <v>1</v>
      </c>
      <c r="T21" s="15" t="n">
        <v>1</v>
      </c>
      <c r="U21" s="16" t="n">
        <v>1</v>
      </c>
      <c r="V21" s="12"/>
      <c r="W21" s="12"/>
      <c r="X21" s="13"/>
      <c r="Y21" s="12" t="n">
        <f aca="false">COUNT(K21:W21)</f>
        <v>6</v>
      </c>
      <c r="Z21" s="13"/>
      <c r="AE21" s="22" t="n">
        <v>0.833333333333333</v>
      </c>
      <c r="AG21" s="22" t="n">
        <v>0</v>
      </c>
      <c r="AH21" s="22" t="n">
        <v>0.583333333333333</v>
      </c>
      <c r="AI21" s="22" t="n">
        <v>0.166666666666667</v>
      </c>
      <c r="AJ21" s="22" t="n">
        <v>1.75</v>
      </c>
      <c r="AK21" s="22" t="n">
        <v>0.333333333333333</v>
      </c>
      <c r="AN21" s="13"/>
      <c r="AO21" s="22" t="n">
        <v>0.833333333333333</v>
      </c>
      <c r="AP21" s="22"/>
      <c r="AQ21" s="22" t="n">
        <v>0</v>
      </c>
      <c r="AR21" s="22" t="n">
        <v>0.583333333333333</v>
      </c>
      <c r="AS21" s="22" t="n">
        <v>0.166666666666667</v>
      </c>
      <c r="AT21" s="22" t="n">
        <v>1.75</v>
      </c>
      <c r="AU21" s="22" t="n">
        <v>0.333333333333333</v>
      </c>
      <c r="AV21" s="13"/>
      <c r="AW21" s="22" t="n">
        <v>0.833333333333333</v>
      </c>
      <c r="AX21" s="22" t="n">
        <v>0</v>
      </c>
      <c r="AY21" s="22" t="n">
        <v>0</v>
      </c>
      <c r="AZ21" s="31" t="n">
        <v>0.583333333333333</v>
      </c>
      <c r="BA21" s="22" t="n">
        <v>0.166666666666667</v>
      </c>
      <c r="BB21" s="22" t="n">
        <v>1.75</v>
      </c>
      <c r="BC21" s="22" t="n">
        <v>0.333333333333333</v>
      </c>
      <c r="BD21" s="13"/>
      <c r="BE21" s="13"/>
      <c r="BF21" s="13"/>
      <c r="BG21" s="28" t="n">
        <f aca="false">B21</f>
        <v>15</v>
      </c>
      <c r="BH21" s="28" t="n">
        <f aca="false">Y21</f>
        <v>6</v>
      </c>
      <c r="BI21" s="28" t="n">
        <f aca="false">D21+0.1</f>
        <v>3.1</v>
      </c>
      <c r="BJ21" s="28" t="n">
        <f aca="false">(E21*2)+0.1</f>
        <v>4.1</v>
      </c>
      <c r="BK21" s="28" t="n">
        <f aca="false">F21+0.1</f>
        <v>0.1</v>
      </c>
      <c r="BL21" s="28" t="n">
        <f aca="false">(G21*2)+0.1</f>
        <v>0.1</v>
      </c>
      <c r="BM21" s="28" t="n">
        <f aca="false">H21+0.1</f>
        <v>0.1</v>
      </c>
      <c r="BN21" s="28" t="n">
        <f aca="false">(I21*2)+0.1</f>
        <v>0.1</v>
      </c>
      <c r="BO21" s="28" t="n">
        <f aca="false">AW21</f>
        <v>0.833333333333333</v>
      </c>
      <c r="BP21" s="28" t="n">
        <f aca="false">AX21</f>
        <v>0</v>
      </c>
      <c r="BQ21" s="28" t="n">
        <f aca="false">AY21</f>
        <v>0</v>
      </c>
      <c r="BR21" s="28" t="n">
        <f aca="false">AZ21</f>
        <v>0.583333333333333</v>
      </c>
      <c r="BS21" s="28" t="n">
        <f aca="false">BA21</f>
        <v>0.166666666666667</v>
      </c>
      <c r="BT21" s="28" t="n">
        <f aca="false">BB21</f>
        <v>1.75</v>
      </c>
      <c r="BU21" s="28" t="n">
        <f aca="false">BC21</f>
        <v>0.333333333333333</v>
      </c>
    </row>
    <row r="22" customFormat="false" ht="18.3" hidden="false" customHeight="true" outlineLevel="0" collapsed="false">
      <c r="B22" s="12" t="n">
        <v>16</v>
      </c>
      <c r="C22" s="12"/>
      <c r="D22" s="12" t="n">
        <v>0</v>
      </c>
      <c r="E22" s="12" t="n">
        <v>2</v>
      </c>
      <c r="F22" s="12" t="n">
        <v>1</v>
      </c>
      <c r="G22" s="12" t="n">
        <v>0</v>
      </c>
      <c r="H22" s="12" t="n">
        <v>0</v>
      </c>
      <c r="I22" s="12" t="n">
        <v>0</v>
      </c>
      <c r="J22" s="13"/>
      <c r="K22" s="12"/>
      <c r="L22" s="12"/>
      <c r="M22" s="12"/>
      <c r="N22" s="12"/>
      <c r="O22" s="29" t="n">
        <v>1</v>
      </c>
      <c r="P22" s="12" t="n">
        <v>1</v>
      </c>
      <c r="Q22" s="12" t="n">
        <v>1</v>
      </c>
      <c r="R22" s="12"/>
      <c r="S22" s="12" t="n">
        <v>1</v>
      </c>
      <c r="T22" s="12" t="n">
        <v>1</v>
      </c>
      <c r="U22" s="18" t="n">
        <v>1</v>
      </c>
      <c r="V22" s="12"/>
      <c r="W22" s="12"/>
      <c r="X22" s="13"/>
      <c r="Y22" s="12" t="n">
        <f aca="false">COUNT(K22:W22)</f>
        <v>6</v>
      </c>
      <c r="Z22" s="13"/>
      <c r="AE22" s="22" t="n">
        <v>0.833333333333333</v>
      </c>
      <c r="AF22" s="22" t="n">
        <v>0.416666666666667</v>
      </c>
      <c r="AG22" s="22" t="n">
        <v>0</v>
      </c>
      <c r="AI22" s="22" t="n">
        <v>0.166666666666667</v>
      </c>
      <c r="AJ22" s="22" t="n">
        <v>1.75</v>
      </c>
      <c r="AK22" s="22" t="n">
        <v>1.333</v>
      </c>
      <c r="AN22" s="13"/>
      <c r="AO22" s="22" t="n">
        <v>0.833333333333333</v>
      </c>
      <c r="AP22" s="22" t="n">
        <v>0.416666666666667</v>
      </c>
      <c r="AQ22" s="22" t="n">
        <v>0</v>
      </c>
      <c r="AR22" s="22"/>
      <c r="AS22" s="22" t="n">
        <v>0.166666666666667</v>
      </c>
      <c r="AT22" s="22" t="n">
        <v>1.75</v>
      </c>
      <c r="AU22" s="22" t="n">
        <v>1.333</v>
      </c>
      <c r="AV22" s="13"/>
      <c r="AW22" s="22" t="n">
        <v>0.833333333333333</v>
      </c>
      <c r="AX22" s="22" t="n">
        <v>0.416666666666667</v>
      </c>
      <c r="AY22" s="22" t="n">
        <v>0</v>
      </c>
      <c r="AZ22" s="22" t="n">
        <v>0.166666666666667</v>
      </c>
      <c r="BA22" s="22" t="n">
        <v>0.166666666666667</v>
      </c>
      <c r="BB22" s="22" t="n">
        <v>1.75</v>
      </c>
      <c r="BC22" s="22" t="n">
        <v>1.333</v>
      </c>
      <c r="BD22" s="13"/>
      <c r="BE22" s="13"/>
      <c r="BF22" s="13"/>
      <c r="BG22" s="28" t="n">
        <f aca="false">B22</f>
        <v>16</v>
      </c>
      <c r="BH22" s="28" t="n">
        <f aca="false">Y22</f>
        <v>6</v>
      </c>
      <c r="BI22" s="28" t="n">
        <f aca="false">D22+0.1</f>
        <v>0.1</v>
      </c>
      <c r="BJ22" s="28" t="n">
        <f aca="false">(E22*2)+0.1</f>
        <v>4.1</v>
      </c>
      <c r="BK22" s="28" t="n">
        <f aca="false">F22+0.1</f>
        <v>1.1</v>
      </c>
      <c r="BL22" s="28" t="n">
        <f aca="false">(G22*2)+0.1</f>
        <v>0.1</v>
      </c>
      <c r="BM22" s="28" t="n">
        <f aca="false">H22+0.1</f>
        <v>0.1</v>
      </c>
      <c r="BN22" s="28" t="n">
        <f aca="false">(I22*2)+0.1</f>
        <v>0.1</v>
      </c>
      <c r="BO22" s="28" t="n">
        <f aca="false">AW22</f>
        <v>0.833333333333333</v>
      </c>
      <c r="BP22" s="28" t="n">
        <f aca="false">AX22</f>
        <v>0.416666666666667</v>
      </c>
      <c r="BQ22" s="28" t="n">
        <f aca="false">AY22</f>
        <v>0</v>
      </c>
      <c r="BR22" s="28" t="n">
        <f aca="false">AZ22</f>
        <v>0.166666666666667</v>
      </c>
      <c r="BS22" s="28" t="n">
        <f aca="false">BA22</f>
        <v>0.166666666666667</v>
      </c>
      <c r="BT22" s="28" t="n">
        <f aca="false">BB22</f>
        <v>1.75</v>
      </c>
      <c r="BU22" s="28" t="n">
        <f aca="false">BC22</f>
        <v>1.333</v>
      </c>
    </row>
    <row r="23" customFormat="false" ht="18.3" hidden="false" customHeight="true" outlineLevel="0" collapsed="false">
      <c r="B23" s="12" t="n">
        <v>17</v>
      </c>
      <c r="C23" s="12"/>
      <c r="D23" s="12" t="n">
        <v>1</v>
      </c>
      <c r="E23" s="12" t="n">
        <v>2</v>
      </c>
      <c r="F23" s="12" t="n">
        <v>0</v>
      </c>
      <c r="G23" s="12" t="n">
        <v>0</v>
      </c>
      <c r="H23" s="12" t="n">
        <v>0</v>
      </c>
      <c r="I23" s="12" t="n">
        <v>1</v>
      </c>
      <c r="J23" s="13"/>
      <c r="K23" s="12"/>
      <c r="L23" s="12"/>
      <c r="M23" s="12"/>
      <c r="N23" s="12"/>
      <c r="O23" s="29" t="n">
        <v>1</v>
      </c>
      <c r="P23" s="30" t="n">
        <v>1</v>
      </c>
      <c r="Q23" s="30" t="n">
        <v>1</v>
      </c>
      <c r="R23" s="30" t="n">
        <v>1</v>
      </c>
      <c r="S23" s="30" t="n">
        <v>1</v>
      </c>
      <c r="T23" s="30" t="n">
        <v>1</v>
      </c>
      <c r="U23" s="18" t="n">
        <v>1</v>
      </c>
      <c r="V23" s="12"/>
      <c r="W23" s="12"/>
      <c r="X23" s="13"/>
      <c r="Y23" s="12" t="n">
        <f aca="false">COUNT(K23:W23)</f>
        <v>7</v>
      </c>
      <c r="Z23" s="13"/>
      <c r="AE23" s="22" t="n">
        <v>0.833333333333333</v>
      </c>
      <c r="AF23" s="22" t="n">
        <v>0.416666666666667</v>
      </c>
      <c r="AG23" s="22" t="n">
        <v>0</v>
      </c>
      <c r="AH23" s="22" t="n">
        <v>0.583333333333333</v>
      </c>
      <c r="AI23" s="22" t="n">
        <v>0.166666666666667</v>
      </c>
      <c r="AJ23" s="22" t="n">
        <v>1.75</v>
      </c>
      <c r="AK23" s="22" t="n">
        <v>1.333</v>
      </c>
      <c r="AN23" s="13"/>
      <c r="AO23" s="22" t="n">
        <v>0.833333333333333</v>
      </c>
      <c r="AP23" s="22" t="n">
        <v>0.416666666666667</v>
      </c>
      <c r="AQ23" s="22" t="n">
        <v>0</v>
      </c>
      <c r="AR23" s="22" t="n">
        <v>0.583333333333333</v>
      </c>
      <c r="AS23" s="22" t="n">
        <v>0.166666666666667</v>
      </c>
      <c r="AT23" s="22" t="n">
        <v>1.75</v>
      </c>
      <c r="AU23" s="22" t="n">
        <v>1.333</v>
      </c>
      <c r="AV23" s="13"/>
      <c r="AW23" s="22" t="n">
        <v>0.833333333333333</v>
      </c>
      <c r="AX23" s="22" t="n">
        <v>0.416666666666667</v>
      </c>
      <c r="AY23" s="22" t="n">
        <v>0</v>
      </c>
      <c r="AZ23" s="31" t="n">
        <v>0.583333333333333</v>
      </c>
      <c r="BA23" s="22" t="n">
        <v>0.166666666666667</v>
      </c>
      <c r="BB23" s="22" t="n">
        <v>1.75</v>
      </c>
      <c r="BC23" s="22" t="n">
        <v>1.333</v>
      </c>
      <c r="BD23" s="13"/>
      <c r="BE23" s="13"/>
      <c r="BF23" s="13"/>
      <c r="BG23" s="28" t="n">
        <f aca="false">B23</f>
        <v>17</v>
      </c>
      <c r="BH23" s="28" t="n">
        <f aca="false">Y23</f>
        <v>7</v>
      </c>
      <c r="BI23" s="28" t="n">
        <f aca="false">D23+0.1</f>
        <v>1.1</v>
      </c>
      <c r="BJ23" s="28" t="n">
        <f aca="false">(E23*2)+0.1</f>
        <v>4.1</v>
      </c>
      <c r="BK23" s="28" t="n">
        <f aca="false">F23+0.1</f>
        <v>0.1</v>
      </c>
      <c r="BL23" s="28" t="n">
        <f aca="false">(G23*2)+0.1</f>
        <v>0.1</v>
      </c>
      <c r="BM23" s="28" t="n">
        <f aca="false">H23+0.1</f>
        <v>0.1</v>
      </c>
      <c r="BN23" s="28" t="n">
        <f aca="false">(I23*2)+0.1</f>
        <v>2.1</v>
      </c>
      <c r="BO23" s="28" t="n">
        <f aca="false">AW23</f>
        <v>0.833333333333333</v>
      </c>
      <c r="BP23" s="28" t="n">
        <f aca="false">AX23</f>
        <v>0.416666666666667</v>
      </c>
      <c r="BQ23" s="28" t="n">
        <f aca="false">AY23</f>
        <v>0</v>
      </c>
      <c r="BR23" s="28" t="n">
        <f aca="false">AZ23</f>
        <v>0.583333333333333</v>
      </c>
      <c r="BS23" s="28" t="n">
        <f aca="false">BA23</f>
        <v>0.166666666666667</v>
      </c>
      <c r="BT23" s="28" t="n">
        <f aca="false">BB23</f>
        <v>1.75</v>
      </c>
      <c r="BU23" s="28" t="n">
        <f aca="false">BC23</f>
        <v>1.333</v>
      </c>
    </row>
    <row r="24" customFormat="false" ht="18.3" hidden="false" customHeight="true" outlineLevel="0" collapsed="false">
      <c r="B24" s="12" t="n">
        <v>18</v>
      </c>
      <c r="C24" s="12"/>
      <c r="D24" s="12" t="n">
        <v>4</v>
      </c>
      <c r="E24" s="12" t="n">
        <v>2</v>
      </c>
      <c r="F24" s="12" t="n">
        <v>0</v>
      </c>
      <c r="G24" s="12" t="n">
        <v>0</v>
      </c>
      <c r="H24" s="12" t="n">
        <v>0</v>
      </c>
      <c r="I24" s="12" t="n">
        <v>0</v>
      </c>
      <c r="J24" s="13"/>
      <c r="K24" s="12"/>
      <c r="L24" s="12"/>
      <c r="M24" s="12"/>
      <c r="N24" s="12"/>
      <c r="O24" s="29" t="n">
        <v>1</v>
      </c>
      <c r="P24" s="12" t="n">
        <v>1</v>
      </c>
      <c r="Q24" s="12" t="n">
        <v>1</v>
      </c>
      <c r="R24" s="12" t="n">
        <v>1</v>
      </c>
      <c r="S24" s="12" t="n">
        <v>1</v>
      </c>
      <c r="T24" s="12" t="n">
        <v>1</v>
      </c>
      <c r="U24" s="18" t="n">
        <v>1</v>
      </c>
      <c r="V24" s="12"/>
      <c r="W24" s="12"/>
      <c r="X24" s="13"/>
      <c r="Y24" s="12" t="n">
        <f aca="false">COUNT(K24:W24)</f>
        <v>7</v>
      </c>
      <c r="Z24" s="13"/>
      <c r="AE24" s="22" t="n">
        <v>0.833333333333333</v>
      </c>
      <c r="AF24" s="22" t="n">
        <v>0.416666666666667</v>
      </c>
      <c r="AG24" s="22" t="n">
        <v>0</v>
      </c>
      <c r="AH24" s="22" t="n">
        <v>0.583333333333333</v>
      </c>
      <c r="AI24" s="22" t="n">
        <v>0.166666666666667</v>
      </c>
      <c r="AJ24" s="22" t="n">
        <v>1.75</v>
      </c>
      <c r="AK24" s="22" t="n">
        <v>1.333</v>
      </c>
      <c r="AN24" s="13"/>
      <c r="AO24" s="22" t="n">
        <v>0.833333333333333</v>
      </c>
      <c r="AP24" s="22" t="n">
        <v>0.416666666666667</v>
      </c>
      <c r="AQ24" s="22" t="n">
        <v>0</v>
      </c>
      <c r="AR24" s="22" t="n">
        <v>0.583333333333333</v>
      </c>
      <c r="AS24" s="22" t="n">
        <v>0.166666666666667</v>
      </c>
      <c r="AT24" s="22" t="n">
        <v>1.75</v>
      </c>
      <c r="AU24" s="22" t="n">
        <v>1.333</v>
      </c>
      <c r="AV24" s="13"/>
      <c r="AW24" s="22" t="n">
        <v>0.833333333333333</v>
      </c>
      <c r="AX24" s="22" t="n">
        <v>0.416666666666667</v>
      </c>
      <c r="AY24" s="22" t="n">
        <v>0</v>
      </c>
      <c r="AZ24" s="31" t="n">
        <v>0.583333333333333</v>
      </c>
      <c r="BA24" s="22" t="n">
        <v>0.166666666666667</v>
      </c>
      <c r="BB24" s="22" t="n">
        <v>1.75</v>
      </c>
      <c r="BC24" s="22" t="n">
        <v>1.333</v>
      </c>
      <c r="BD24" s="13"/>
      <c r="BE24" s="13"/>
      <c r="BF24" s="13"/>
      <c r="BG24" s="28" t="n">
        <f aca="false">B24</f>
        <v>18</v>
      </c>
      <c r="BH24" s="28" t="n">
        <f aca="false">Y24</f>
        <v>7</v>
      </c>
      <c r="BI24" s="28" t="n">
        <f aca="false">D24+0.1</f>
        <v>4.1</v>
      </c>
      <c r="BJ24" s="28" t="n">
        <f aca="false">(E24*2)+0.1</f>
        <v>4.1</v>
      </c>
      <c r="BK24" s="28" t="n">
        <f aca="false">F24+0.1</f>
        <v>0.1</v>
      </c>
      <c r="BL24" s="28" t="n">
        <f aca="false">(G24*2)+0.1</f>
        <v>0.1</v>
      </c>
      <c r="BM24" s="28" t="n">
        <f aca="false">H24+0.1</f>
        <v>0.1</v>
      </c>
      <c r="BN24" s="28" t="n">
        <f aca="false">(I24*2)+0.1</f>
        <v>0.1</v>
      </c>
      <c r="BO24" s="28" t="n">
        <f aca="false">AW24</f>
        <v>0.833333333333333</v>
      </c>
      <c r="BP24" s="28" t="n">
        <f aca="false">AX24</f>
        <v>0.416666666666667</v>
      </c>
      <c r="BQ24" s="28" t="n">
        <f aca="false">AY24</f>
        <v>0</v>
      </c>
      <c r="BR24" s="28" t="n">
        <f aca="false">AZ24</f>
        <v>0.583333333333333</v>
      </c>
      <c r="BS24" s="28" t="n">
        <f aca="false">BA24</f>
        <v>0.166666666666667</v>
      </c>
      <c r="BT24" s="28" t="n">
        <f aca="false">BB24</f>
        <v>1.75</v>
      </c>
      <c r="BU24" s="28" t="n">
        <f aca="false">BC24</f>
        <v>1.333</v>
      </c>
    </row>
    <row r="25" customFormat="false" ht="18.3" hidden="false" customHeight="true" outlineLevel="0" collapsed="false">
      <c r="B25" s="12" t="n">
        <v>19</v>
      </c>
      <c r="C25" s="12"/>
      <c r="D25" s="12" t="n">
        <v>3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3"/>
      <c r="K25" s="12"/>
      <c r="L25" s="12"/>
      <c r="M25" s="12"/>
      <c r="N25" s="30"/>
      <c r="O25" s="17"/>
      <c r="P25" s="12"/>
      <c r="Q25" s="33" t="n">
        <v>1</v>
      </c>
      <c r="R25" s="12" t="n">
        <v>1</v>
      </c>
      <c r="S25" s="12" t="n">
        <v>1</v>
      </c>
      <c r="T25" s="30" t="n">
        <v>1</v>
      </c>
      <c r="U25" s="18"/>
      <c r="V25" s="12"/>
      <c r="W25" s="12"/>
      <c r="X25" s="13"/>
      <c r="Y25" s="12" t="n">
        <f aca="false">COUNT(K25:W25)</f>
        <v>4</v>
      </c>
      <c r="Z25" s="13"/>
      <c r="AG25" s="22" t="n">
        <v>0</v>
      </c>
      <c r="AH25" s="22" t="n">
        <v>0.583333333333333</v>
      </c>
      <c r="AI25" s="22" t="n">
        <v>0.166666666666667</v>
      </c>
      <c r="AJ25" s="22" t="n">
        <v>0.75</v>
      </c>
      <c r="AN25" s="13"/>
      <c r="AO25" s="22"/>
      <c r="AP25" s="22"/>
      <c r="AQ25" s="22" t="n">
        <v>0</v>
      </c>
      <c r="AR25" s="22" t="n">
        <v>0.583333333333333</v>
      </c>
      <c r="AS25" s="22" t="n">
        <v>0.166666666666667</v>
      </c>
      <c r="AT25" s="22" t="n">
        <v>0.75</v>
      </c>
      <c r="AU25" s="22"/>
      <c r="AV25" s="13"/>
      <c r="AW25" s="22" t="n">
        <v>0</v>
      </c>
      <c r="AX25" s="22" t="n">
        <v>0</v>
      </c>
      <c r="AY25" s="31" t="n">
        <v>0.583333333333333</v>
      </c>
      <c r="AZ25" s="31" t="n">
        <v>0.583333333333333</v>
      </c>
      <c r="BA25" s="22" t="n">
        <v>0.166666666666667</v>
      </c>
      <c r="BB25" s="22" t="n">
        <v>0.166666666666667</v>
      </c>
      <c r="BC25" s="22" t="n">
        <v>0.75</v>
      </c>
      <c r="BD25" s="13"/>
      <c r="BE25" s="13"/>
      <c r="BF25" s="13"/>
      <c r="BG25" s="28" t="n">
        <f aca="false">B25</f>
        <v>19</v>
      </c>
      <c r="BH25" s="28" t="n">
        <f aca="false">Y25</f>
        <v>4</v>
      </c>
      <c r="BI25" s="28" t="n">
        <f aca="false">D25+0.1</f>
        <v>3.1</v>
      </c>
      <c r="BJ25" s="28" t="n">
        <f aca="false">(E25*2)+0.1</f>
        <v>0.1</v>
      </c>
      <c r="BK25" s="28" t="n">
        <f aca="false">F25+0.1</f>
        <v>0.1</v>
      </c>
      <c r="BL25" s="28" t="n">
        <f aca="false">(G25*2)+0.1</f>
        <v>0.1</v>
      </c>
      <c r="BM25" s="28" t="n">
        <f aca="false">H25+0.1</f>
        <v>0.1</v>
      </c>
      <c r="BN25" s="28" t="n">
        <f aca="false">(I25*2)+0.1</f>
        <v>0.1</v>
      </c>
      <c r="BO25" s="28" t="n">
        <f aca="false">AW25</f>
        <v>0</v>
      </c>
      <c r="BP25" s="28" t="n">
        <f aca="false">AX25</f>
        <v>0</v>
      </c>
      <c r="BQ25" s="28" t="n">
        <f aca="false">AY25</f>
        <v>0.583333333333333</v>
      </c>
      <c r="BR25" s="28" t="n">
        <f aca="false">AZ25</f>
        <v>0.583333333333333</v>
      </c>
      <c r="BS25" s="28" t="n">
        <f aca="false">BA25</f>
        <v>0.166666666666667</v>
      </c>
      <c r="BT25" s="28" t="n">
        <f aca="false">BB25</f>
        <v>0.166666666666667</v>
      </c>
      <c r="BU25" s="28" t="n">
        <f aca="false">BC25</f>
        <v>0.75</v>
      </c>
    </row>
    <row r="26" customFormat="false" ht="18.3" hidden="false" customHeight="true" outlineLevel="0" collapsed="false">
      <c r="B26" s="12" t="n">
        <v>20</v>
      </c>
      <c r="C26" s="12"/>
      <c r="D26" s="12" t="n">
        <v>3</v>
      </c>
      <c r="E26" s="12" t="n">
        <v>1</v>
      </c>
      <c r="F26" s="12" t="n">
        <v>0</v>
      </c>
      <c r="G26" s="12" t="n">
        <v>0</v>
      </c>
      <c r="H26" s="12" t="n">
        <v>0</v>
      </c>
      <c r="I26" s="12" t="n">
        <v>0</v>
      </c>
      <c r="J26" s="13"/>
      <c r="K26" s="12"/>
      <c r="L26" s="12"/>
      <c r="M26" s="12"/>
      <c r="N26" s="30"/>
      <c r="O26" s="17"/>
      <c r="P26" s="33" t="n">
        <v>1</v>
      </c>
      <c r="Q26" s="12" t="n">
        <v>1</v>
      </c>
      <c r="R26" s="12" t="n">
        <v>1</v>
      </c>
      <c r="S26" s="12" t="n">
        <v>1</v>
      </c>
      <c r="T26" s="30" t="n">
        <v>1</v>
      </c>
      <c r="U26" s="18"/>
      <c r="V26" s="12"/>
      <c r="W26" s="12"/>
      <c r="X26" s="13"/>
      <c r="Y26" s="12" t="n">
        <f aca="false">COUNT(K26:W26)</f>
        <v>5</v>
      </c>
      <c r="Z26" s="13"/>
      <c r="AF26" s="22" t="n">
        <v>0.416666666666667</v>
      </c>
      <c r="AG26" s="22" t="n">
        <v>0</v>
      </c>
      <c r="AH26" s="22" t="n">
        <v>0.583333333333333</v>
      </c>
      <c r="AI26" s="22" t="n">
        <v>0.166666666666667</v>
      </c>
      <c r="AJ26" s="22" t="n">
        <v>0.75</v>
      </c>
      <c r="AN26" s="13"/>
      <c r="AO26" s="22"/>
      <c r="AP26" s="22" t="n">
        <v>0.416666666666667</v>
      </c>
      <c r="AQ26" s="22" t="n">
        <v>0</v>
      </c>
      <c r="AR26" s="22" t="n">
        <v>0.583333333333333</v>
      </c>
      <c r="AS26" s="22" t="n">
        <v>0.166666666666667</v>
      </c>
      <c r="AT26" s="22" t="n">
        <v>0.75</v>
      </c>
      <c r="AU26" s="22"/>
      <c r="AV26" s="13"/>
      <c r="AW26" s="22" t="n">
        <v>0.416666666666667</v>
      </c>
      <c r="AX26" s="22" t="n">
        <v>0</v>
      </c>
      <c r="AY26" s="22" t="n">
        <v>0</v>
      </c>
      <c r="AZ26" s="31" t="n">
        <v>0.583333333333333</v>
      </c>
      <c r="BA26" s="22" t="n">
        <v>0.166666666666667</v>
      </c>
      <c r="BB26" s="22" t="n">
        <v>0.166666666666667</v>
      </c>
      <c r="BC26" s="22" t="n">
        <v>0.75</v>
      </c>
      <c r="BD26" s="13"/>
      <c r="BE26" s="13"/>
      <c r="BF26" s="13"/>
      <c r="BG26" s="28" t="n">
        <f aca="false">B26</f>
        <v>20</v>
      </c>
      <c r="BH26" s="28" t="n">
        <f aca="false">Y26</f>
        <v>5</v>
      </c>
      <c r="BI26" s="28" t="n">
        <f aca="false">D26+0.1</f>
        <v>3.1</v>
      </c>
      <c r="BJ26" s="28" t="n">
        <f aca="false">(E26*2)+0.1</f>
        <v>2.1</v>
      </c>
      <c r="BK26" s="28" t="n">
        <f aca="false">F26+0.1</f>
        <v>0.1</v>
      </c>
      <c r="BL26" s="28" t="n">
        <f aca="false">(G26*2)+0.1</f>
        <v>0.1</v>
      </c>
      <c r="BM26" s="28" t="n">
        <f aca="false">H26+0.1</f>
        <v>0.1</v>
      </c>
      <c r="BN26" s="28" t="n">
        <f aca="false">(I26*2)+0.1</f>
        <v>0.1</v>
      </c>
      <c r="BO26" s="28" t="n">
        <f aca="false">AW26</f>
        <v>0.416666666666667</v>
      </c>
      <c r="BP26" s="28" t="n">
        <f aca="false">AX26</f>
        <v>0</v>
      </c>
      <c r="BQ26" s="28" t="n">
        <f aca="false">AY26</f>
        <v>0</v>
      </c>
      <c r="BR26" s="28" t="n">
        <f aca="false">AZ26</f>
        <v>0.583333333333333</v>
      </c>
      <c r="BS26" s="28" t="n">
        <f aca="false">BA26</f>
        <v>0.166666666666667</v>
      </c>
      <c r="BT26" s="28" t="n">
        <f aca="false">BB26</f>
        <v>0.166666666666667</v>
      </c>
      <c r="BU26" s="28" t="n">
        <f aca="false">BC26</f>
        <v>0.75</v>
      </c>
    </row>
    <row r="27" customFormat="false" ht="18.3" hidden="false" customHeight="true" outlineLevel="0" collapsed="false">
      <c r="B27" s="12" t="n">
        <v>21</v>
      </c>
      <c r="C27" s="12"/>
      <c r="D27" s="12" t="n">
        <v>0</v>
      </c>
      <c r="E27" s="12" t="n">
        <v>1</v>
      </c>
      <c r="F27" s="12" t="n">
        <v>0</v>
      </c>
      <c r="G27" s="12" t="n">
        <v>0</v>
      </c>
      <c r="H27" s="12" t="n">
        <v>0</v>
      </c>
      <c r="I27" s="12" t="n">
        <v>1</v>
      </c>
      <c r="J27" s="13"/>
      <c r="K27" s="12"/>
      <c r="L27" s="12"/>
      <c r="M27" s="12"/>
      <c r="N27" s="30"/>
      <c r="O27" s="17"/>
      <c r="P27" s="34" t="n">
        <v>1</v>
      </c>
      <c r="Q27" s="30" t="n">
        <v>1</v>
      </c>
      <c r="R27" s="30"/>
      <c r="S27" s="30" t="n">
        <v>1</v>
      </c>
      <c r="T27" s="30" t="n">
        <v>1</v>
      </c>
      <c r="U27" s="18"/>
      <c r="V27" s="12"/>
      <c r="W27" s="12"/>
      <c r="X27" s="13"/>
      <c r="Y27" s="12" t="n">
        <f aca="false">COUNT(K27:W27)</f>
        <v>4</v>
      </c>
      <c r="Z27" s="13"/>
      <c r="AF27" s="22" t="n">
        <v>0.416666666666667</v>
      </c>
      <c r="AG27" s="22" t="n">
        <v>0</v>
      </c>
      <c r="AI27" s="22" t="n">
        <v>0.166666666666667</v>
      </c>
      <c r="AJ27" s="22" t="n">
        <v>0.75</v>
      </c>
      <c r="AN27" s="13"/>
      <c r="AO27" s="22"/>
      <c r="AP27" s="22" t="n">
        <v>0.416666666666667</v>
      </c>
      <c r="AQ27" s="22" t="n">
        <v>0</v>
      </c>
      <c r="AR27" s="22"/>
      <c r="AS27" s="22" t="n">
        <v>0.166666666666667</v>
      </c>
      <c r="AT27" s="22" t="n">
        <v>0.75</v>
      </c>
      <c r="AU27" s="22"/>
      <c r="AV27" s="13"/>
      <c r="AW27" s="22" t="n">
        <v>0.416666666666667</v>
      </c>
      <c r="AX27" s="22" t="n">
        <v>0.416666666666667</v>
      </c>
      <c r="AY27" s="22" t="n">
        <v>0</v>
      </c>
      <c r="AZ27" s="22" t="n">
        <v>0</v>
      </c>
      <c r="BA27" s="22" t="n">
        <v>0.166666666666667</v>
      </c>
      <c r="BB27" s="22" t="n">
        <v>0.166666666666667</v>
      </c>
      <c r="BC27" s="22" t="n">
        <v>0.75</v>
      </c>
      <c r="BD27" s="13"/>
      <c r="BE27" s="13"/>
      <c r="BF27" s="13"/>
      <c r="BG27" s="28" t="n">
        <f aca="false">B27</f>
        <v>21</v>
      </c>
      <c r="BH27" s="28" t="n">
        <f aca="false">Y27</f>
        <v>4</v>
      </c>
      <c r="BI27" s="28" t="n">
        <f aca="false">D27+0.1</f>
        <v>0.1</v>
      </c>
      <c r="BJ27" s="28" t="n">
        <f aca="false">(E27*2)+0.1</f>
        <v>2.1</v>
      </c>
      <c r="BK27" s="28" t="n">
        <f aca="false">F27+0.1</f>
        <v>0.1</v>
      </c>
      <c r="BL27" s="28" t="n">
        <f aca="false">(G27*2)+0.1</f>
        <v>0.1</v>
      </c>
      <c r="BM27" s="28" t="n">
        <f aca="false">H27+0.1</f>
        <v>0.1</v>
      </c>
      <c r="BN27" s="28" t="n">
        <f aca="false">(I27*2)+0.1</f>
        <v>2.1</v>
      </c>
      <c r="BO27" s="28" t="n">
        <f aca="false">AW27</f>
        <v>0.416666666666667</v>
      </c>
      <c r="BP27" s="28" t="n">
        <f aca="false">AX27</f>
        <v>0.416666666666667</v>
      </c>
      <c r="BQ27" s="28" t="n">
        <f aca="false">AY27</f>
        <v>0</v>
      </c>
      <c r="BR27" s="28" t="n">
        <f aca="false">AZ27</f>
        <v>0</v>
      </c>
      <c r="BS27" s="28" t="n">
        <f aca="false">BA27</f>
        <v>0.166666666666667</v>
      </c>
      <c r="BT27" s="28" t="n">
        <f aca="false">BB27</f>
        <v>0.166666666666667</v>
      </c>
      <c r="BU27" s="28" t="n">
        <f aca="false">BC27</f>
        <v>0.75</v>
      </c>
    </row>
    <row r="28" customFormat="false" ht="18.3" hidden="false" customHeight="true" outlineLevel="0" collapsed="false">
      <c r="B28" s="12" t="n">
        <v>22</v>
      </c>
      <c r="C28" s="12"/>
      <c r="D28" s="12" t="n">
        <v>0</v>
      </c>
      <c r="E28" s="12" t="n">
        <v>2</v>
      </c>
      <c r="F28" s="12" t="n">
        <v>0</v>
      </c>
      <c r="G28" s="12" t="n">
        <v>0</v>
      </c>
      <c r="H28" s="12" t="n">
        <v>0</v>
      </c>
      <c r="I28" s="12" t="n">
        <v>1</v>
      </c>
      <c r="J28" s="13"/>
      <c r="K28" s="12"/>
      <c r="L28" s="12"/>
      <c r="M28" s="12"/>
      <c r="N28" s="30"/>
      <c r="O28" s="32" t="n">
        <v>1</v>
      </c>
      <c r="P28" s="20" t="n">
        <v>1</v>
      </c>
      <c r="Q28" s="20" t="n">
        <v>1</v>
      </c>
      <c r="R28" s="20" t="n">
        <v>1</v>
      </c>
      <c r="S28" s="20" t="n">
        <v>1</v>
      </c>
      <c r="T28" s="20" t="n">
        <v>1</v>
      </c>
      <c r="U28" s="21"/>
      <c r="V28" s="12"/>
      <c r="W28" s="12"/>
      <c r="X28" s="13"/>
      <c r="Y28" s="12" t="n">
        <f aca="false">COUNT(K28:W28)</f>
        <v>6</v>
      </c>
      <c r="Z28" s="13"/>
      <c r="AE28" s="22" t="n">
        <v>0.833333333333333</v>
      </c>
      <c r="AF28" s="22" t="n">
        <v>0.416666666666667</v>
      </c>
      <c r="AG28" s="22" t="n">
        <v>0</v>
      </c>
      <c r="AH28" s="22" t="n">
        <v>0.583333333333333</v>
      </c>
      <c r="AI28" s="22" t="n">
        <v>0.166666666666667</v>
      </c>
      <c r="AJ28" s="22" t="n">
        <v>1.75</v>
      </c>
      <c r="AN28" s="13"/>
      <c r="AO28" s="22" t="n">
        <v>0.833333333333333</v>
      </c>
      <c r="AP28" s="22" t="n">
        <v>0.416666666666667</v>
      </c>
      <c r="AQ28" s="22" t="n">
        <v>0</v>
      </c>
      <c r="AR28" s="22" t="n">
        <v>0.583333333333333</v>
      </c>
      <c r="AS28" s="22" t="n">
        <v>0.166666666666667</v>
      </c>
      <c r="AT28" s="22" t="n">
        <v>1.75</v>
      </c>
      <c r="AU28" s="22"/>
      <c r="AV28" s="13"/>
      <c r="AW28" s="22" t="n">
        <v>0.833333333333333</v>
      </c>
      <c r="AX28" s="22" t="n">
        <v>0.416666666666667</v>
      </c>
      <c r="AY28" s="22" t="n">
        <v>0</v>
      </c>
      <c r="AZ28" s="31" t="n">
        <v>0.583333333333333</v>
      </c>
      <c r="BA28" s="22" t="n">
        <v>0.166666666666667</v>
      </c>
      <c r="BB28" s="22" t="n">
        <v>0.166666666666667</v>
      </c>
      <c r="BC28" s="22" t="n">
        <v>1.75</v>
      </c>
      <c r="BD28" s="13"/>
      <c r="BE28" s="13"/>
      <c r="BF28" s="13"/>
      <c r="BG28" s="28" t="n">
        <f aca="false">B28</f>
        <v>22</v>
      </c>
      <c r="BH28" s="28" t="n">
        <f aca="false">Y28</f>
        <v>6</v>
      </c>
      <c r="BI28" s="28" t="n">
        <f aca="false">D28+0.1</f>
        <v>0.1</v>
      </c>
      <c r="BJ28" s="28" t="n">
        <f aca="false">(E28*2)+0.1</f>
        <v>4.1</v>
      </c>
      <c r="BK28" s="28" t="n">
        <f aca="false">F28+0.1</f>
        <v>0.1</v>
      </c>
      <c r="BL28" s="28" t="n">
        <f aca="false">(G28*2)+0.1</f>
        <v>0.1</v>
      </c>
      <c r="BM28" s="28" t="n">
        <f aca="false">H28+0.1</f>
        <v>0.1</v>
      </c>
      <c r="BN28" s="28" t="n">
        <f aca="false">(I28*2)+0.1</f>
        <v>2.1</v>
      </c>
      <c r="BO28" s="28" t="n">
        <f aca="false">AW28</f>
        <v>0.833333333333333</v>
      </c>
      <c r="BP28" s="28" t="n">
        <f aca="false">AX28</f>
        <v>0.416666666666667</v>
      </c>
      <c r="BQ28" s="28" t="n">
        <f aca="false">AY28</f>
        <v>0</v>
      </c>
      <c r="BR28" s="28" t="n">
        <f aca="false">AZ28</f>
        <v>0.583333333333333</v>
      </c>
      <c r="BS28" s="28" t="n">
        <f aca="false">BA28</f>
        <v>0.166666666666667</v>
      </c>
      <c r="BT28" s="28" t="n">
        <f aca="false">BB28</f>
        <v>0.166666666666667</v>
      </c>
      <c r="BU28" s="28" t="n">
        <f aca="false">BC28</f>
        <v>1.75</v>
      </c>
    </row>
    <row r="29" customFormat="false" ht="18.3" hidden="false" customHeight="true" outlineLevel="0" collapsed="false">
      <c r="B29" s="12" t="n">
        <v>23</v>
      </c>
      <c r="C29" s="12"/>
      <c r="D29" s="12" t="n">
        <v>0</v>
      </c>
      <c r="E29" s="12" t="n">
        <v>3</v>
      </c>
      <c r="F29" s="12" t="n">
        <v>0</v>
      </c>
      <c r="G29" s="12" t="n">
        <v>0</v>
      </c>
      <c r="H29" s="12" t="n">
        <v>0</v>
      </c>
      <c r="I29" s="12" t="n">
        <v>1</v>
      </c>
      <c r="J29" s="13"/>
      <c r="K29" s="12"/>
      <c r="L29" s="12"/>
      <c r="M29" s="12"/>
      <c r="N29" s="27" t="n">
        <v>1</v>
      </c>
      <c r="O29" s="15" t="n">
        <v>1</v>
      </c>
      <c r="P29" s="15" t="n">
        <v>1</v>
      </c>
      <c r="Q29" s="15" t="n">
        <v>1</v>
      </c>
      <c r="R29" s="15" t="n">
        <v>1</v>
      </c>
      <c r="S29" s="15" t="n">
        <v>1</v>
      </c>
      <c r="T29" s="16" t="n">
        <v>1</v>
      </c>
      <c r="U29" s="12"/>
      <c r="V29" s="12"/>
      <c r="W29" s="12"/>
      <c r="X29" s="13"/>
      <c r="Y29" s="12" t="n">
        <f aca="false">COUNT(K29:W29)</f>
        <v>7</v>
      </c>
      <c r="Z29" s="13"/>
      <c r="AD29" s="22" t="n">
        <v>0.25</v>
      </c>
      <c r="AE29" s="22" t="n">
        <v>0.833333333333333</v>
      </c>
      <c r="AF29" s="22" t="n">
        <v>0.416666666666667</v>
      </c>
      <c r="AG29" s="22" t="n">
        <v>0</v>
      </c>
      <c r="AH29" s="22" t="n">
        <v>0.583333333333333</v>
      </c>
      <c r="AI29" s="22" t="n">
        <v>1.167</v>
      </c>
      <c r="AJ29" s="22" t="n">
        <v>1.75</v>
      </c>
      <c r="AN29" s="13"/>
      <c r="AO29" s="22" t="n">
        <v>0.25</v>
      </c>
      <c r="AP29" s="22" t="n">
        <v>0.833333333333333</v>
      </c>
      <c r="AQ29" s="22" t="n">
        <v>0.416666666666667</v>
      </c>
      <c r="AR29" s="22" t="n">
        <v>0</v>
      </c>
      <c r="AS29" s="22" t="n">
        <v>0.583333333333333</v>
      </c>
      <c r="AT29" s="22" t="n">
        <v>1.167</v>
      </c>
      <c r="AU29" s="22" t="n">
        <v>1.75</v>
      </c>
      <c r="AV29" s="13"/>
      <c r="AW29" s="22" t="n">
        <v>0.25</v>
      </c>
      <c r="AX29" s="22" t="n">
        <v>0.833333333333333</v>
      </c>
      <c r="AY29" s="22" t="n">
        <v>0.416666666666667</v>
      </c>
      <c r="AZ29" s="31" t="n">
        <v>0</v>
      </c>
      <c r="BA29" s="22" t="n">
        <v>0.583333333333333</v>
      </c>
      <c r="BB29" s="22" t="n">
        <v>1.167</v>
      </c>
      <c r="BC29" s="22" t="n">
        <v>1.75</v>
      </c>
      <c r="BD29" s="13"/>
      <c r="BE29" s="13"/>
      <c r="BF29" s="13"/>
      <c r="BG29" s="28" t="n">
        <f aca="false">B29</f>
        <v>23</v>
      </c>
      <c r="BH29" s="28" t="n">
        <f aca="false">Y29</f>
        <v>7</v>
      </c>
      <c r="BI29" s="28" t="n">
        <f aca="false">D29+0.1</f>
        <v>0.1</v>
      </c>
      <c r="BJ29" s="28" t="n">
        <f aca="false">(E29*2)+0.1</f>
        <v>6.1</v>
      </c>
      <c r="BK29" s="28" t="n">
        <f aca="false">F29+0.1</f>
        <v>0.1</v>
      </c>
      <c r="BL29" s="28" t="n">
        <f aca="false">(G29*2)+0.1</f>
        <v>0.1</v>
      </c>
      <c r="BM29" s="28" t="n">
        <f aca="false">H29+0.1</f>
        <v>0.1</v>
      </c>
      <c r="BN29" s="28" t="n">
        <f aca="false">(I29*2)+0.1</f>
        <v>2.1</v>
      </c>
      <c r="BO29" s="28" t="n">
        <f aca="false">AW29</f>
        <v>0.25</v>
      </c>
      <c r="BP29" s="28" t="n">
        <f aca="false">AX29</f>
        <v>0.833333333333333</v>
      </c>
      <c r="BQ29" s="28" t="n">
        <f aca="false">AY29</f>
        <v>0.416666666666667</v>
      </c>
      <c r="BR29" s="28" t="n">
        <f aca="false">AZ29</f>
        <v>0</v>
      </c>
      <c r="BS29" s="28" t="n">
        <f aca="false">BA29</f>
        <v>0.583333333333333</v>
      </c>
      <c r="BT29" s="28" t="n">
        <f aca="false">BB29</f>
        <v>1.167</v>
      </c>
      <c r="BU29" s="28" t="n">
        <f aca="false">BC29</f>
        <v>1.75</v>
      </c>
    </row>
    <row r="30" customFormat="false" ht="18.3" hidden="false" customHeight="true" outlineLevel="0" collapsed="false">
      <c r="B30" s="12" t="n">
        <v>24</v>
      </c>
      <c r="C30" s="12"/>
      <c r="D30" s="12" t="n">
        <v>3</v>
      </c>
      <c r="E30" s="12" t="n">
        <v>0</v>
      </c>
      <c r="F30" s="12" t="n">
        <v>0</v>
      </c>
      <c r="G30" s="12" t="n">
        <v>0</v>
      </c>
      <c r="H30" s="12" t="n">
        <v>1</v>
      </c>
      <c r="I30" s="12" t="n">
        <v>0</v>
      </c>
      <c r="J30" s="13"/>
      <c r="K30" s="12"/>
      <c r="L30" s="12"/>
      <c r="M30" s="12"/>
      <c r="N30" s="29" t="n">
        <v>1</v>
      </c>
      <c r="O30" s="30" t="n">
        <v>1</v>
      </c>
      <c r="P30" s="30" t="n">
        <v>1</v>
      </c>
      <c r="Q30" s="30" t="n">
        <v>1</v>
      </c>
      <c r="R30" s="30" t="n">
        <v>1</v>
      </c>
      <c r="S30" s="30" t="n">
        <v>1</v>
      </c>
      <c r="T30" s="18" t="n">
        <v>1</v>
      </c>
      <c r="U30" s="12"/>
      <c r="V30" s="12"/>
      <c r="W30" s="12"/>
      <c r="X30" s="13"/>
      <c r="Y30" s="12" t="n">
        <f aca="false">COUNT(K30:W30)</f>
        <v>7</v>
      </c>
      <c r="Z30" s="13"/>
      <c r="AD30" s="22" t="n">
        <v>0.25</v>
      </c>
      <c r="AE30" s="22" t="n">
        <v>0.833333333333333</v>
      </c>
      <c r="AF30" s="22" t="n">
        <v>0.416666666666667</v>
      </c>
      <c r="AG30" s="22" t="n">
        <v>0</v>
      </c>
      <c r="AH30" s="22" t="n">
        <v>0.583333333333333</v>
      </c>
      <c r="AI30" s="22" t="n">
        <v>1.167</v>
      </c>
      <c r="AJ30" s="22" t="n">
        <v>1.75</v>
      </c>
      <c r="AN30" s="13"/>
      <c r="AO30" s="22" t="n">
        <v>0.25</v>
      </c>
      <c r="AP30" s="22" t="n">
        <v>0.833333333333333</v>
      </c>
      <c r="AQ30" s="22" t="n">
        <v>0.416666666666667</v>
      </c>
      <c r="AR30" s="22" t="n">
        <v>0</v>
      </c>
      <c r="AS30" s="22" t="n">
        <v>0.583333333333333</v>
      </c>
      <c r="AT30" s="22" t="n">
        <v>1.167</v>
      </c>
      <c r="AU30" s="22" t="n">
        <v>1.75</v>
      </c>
      <c r="AV30" s="13"/>
      <c r="AW30" s="22" t="n">
        <v>0.25</v>
      </c>
      <c r="AX30" s="22" t="n">
        <v>0.833333333333333</v>
      </c>
      <c r="AY30" s="22" t="n">
        <v>0.416666666666667</v>
      </c>
      <c r="AZ30" s="31" t="n">
        <v>0</v>
      </c>
      <c r="BA30" s="22" t="n">
        <v>0.583333333333333</v>
      </c>
      <c r="BB30" s="22" t="n">
        <v>1.167</v>
      </c>
      <c r="BC30" s="22" t="n">
        <v>1.75</v>
      </c>
      <c r="BD30" s="13"/>
      <c r="BE30" s="13"/>
      <c r="BF30" s="13"/>
      <c r="BG30" s="28" t="n">
        <f aca="false">B30</f>
        <v>24</v>
      </c>
      <c r="BH30" s="28" t="n">
        <f aca="false">Y30</f>
        <v>7</v>
      </c>
      <c r="BI30" s="28" t="n">
        <f aca="false">D30+0.1</f>
        <v>3.1</v>
      </c>
      <c r="BJ30" s="28" t="n">
        <f aca="false">(E30*2)+0.1</f>
        <v>0.1</v>
      </c>
      <c r="BK30" s="28" t="n">
        <f aca="false">F30+0.1</f>
        <v>0.1</v>
      </c>
      <c r="BL30" s="28" t="n">
        <f aca="false">(G30*2)+0.1</f>
        <v>0.1</v>
      </c>
      <c r="BM30" s="28" t="n">
        <f aca="false">H30+0.1</f>
        <v>1.1</v>
      </c>
      <c r="BN30" s="28" t="n">
        <f aca="false">(I30*2)+0.1</f>
        <v>0.1</v>
      </c>
      <c r="BO30" s="28" t="n">
        <f aca="false">AW30</f>
        <v>0.25</v>
      </c>
      <c r="BP30" s="28" t="n">
        <f aca="false">AX30</f>
        <v>0.833333333333333</v>
      </c>
      <c r="BQ30" s="28" t="n">
        <f aca="false">AY30</f>
        <v>0.416666666666667</v>
      </c>
      <c r="BR30" s="28" t="n">
        <f aca="false">AZ30</f>
        <v>0</v>
      </c>
      <c r="BS30" s="28" t="n">
        <f aca="false">BA30</f>
        <v>0.583333333333333</v>
      </c>
      <c r="BT30" s="28" t="n">
        <f aca="false">BB30</f>
        <v>1.167</v>
      </c>
      <c r="BU30" s="28" t="n">
        <f aca="false">BC30</f>
        <v>1.75</v>
      </c>
    </row>
    <row r="31" customFormat="false" ht="18.3" hidden="false" customHeight="true" outlineLevel="0" collapsed="false">
      <c r="B31" s="12" t="n">
        <v>25</v>
      </c>
      <c r="C31" s="12"/>
      <c r="D31" s="12" t="n">
        <v>3</v>
      </c>
      <c r="E31" s="12" t="n">
        <v>3</v>
      </c>
      <c r="F31" s="12" t="n">
        <v>0</v>
      </c>
      <c r="G31" s="12" t="n">
        <v>0</v>
      </c>
      <c r="H31" s="12" t="n">
        <v>0</v>
      </c>
      <c r="I31" s="12" t="n">
        <v>0</v>
      </c>
      <c r="J31" s="13"/>
      <c r="K31" s="12"/>
      <c r="L31" s="12"/>
      <c r="M31" s="12"/>
      <c r="N31" s="29" t="n">
        <v>1</v>
      </c>
      <c r="O31" s="12" t="n">
        <v>1</v>
      </c>
      <c r="P31" s="12" t="n">
        <v>1</v>
      </c>
      <c r="Q31" s="12" t="n">
        <v>1</v>
      </c>
      <c r="R31" s="12" t="n">
        <v>1</v>
      </c>
      <c r="S31" s="12" t="n">
        <v>1</v>
      </c>
      <c r="T31" s="18" t="n">
        <v>1</v>
      </c>
      <c r="U31" s="12"/>
      <c r="V31" s="12"/>
      <c r="W31" s="12"/>
      <c r="X31" s="13"/>
      <c r="Y31" s="12" t="n">
        <f aca="false">COUNT(K31:W31)</f>
        <v>7</v>
      </c>
      <c r="Z31" s="13"/>
      <c r="AD31" s="22" t="n">
        <v>0.25</v>
      </c>
      <c r="AE31" s="22" t="n">
        <v>0.833333333333333</v>
      </c>
      <c r="AF31" s="22" t="n">
        <v>0.416666666666667</v>
      </c>
      <c r="AG31" s="22" t="n">
        <v>0</v>
      </c>
      <c r="AH31" s="22" t="n">
        <v>0.583333333333333</v>
      </c>
      <c r="AI31" s="22" t="n">
        <v>1.167</v>
      </c>
      <c r="AJ31" s="22" t="n">
        <v>1.75</v>
      </c>
      <c r="AN31" s="13"/>
      <c r="AO31" s="22" t="n">
        <v>0.25</v>
      </c>
      <c r="AP31" s="22" t="n">
        <v>0.833333333333333</v>
      </c>
      <c r="AQ31" s="22" t="n">
        <v>0.416666666666667</v>
      </c>
      <c r="AR31" s="22" t="n">
        <v>0</v>
      </c>
      <c r="AS31" s="22" t="n">
        <v>0.583333333333333</v>
      </c>
      <c r="AT31" s="22" t="n">
        <v>1.167</v>
      </c>
      <c r="AU31" s="22" t="n">
        <v>1.75</v>
      </c>
      <c r="AV31" s="13"/>
      <c r="AW31" s="22" t="n">
        <v>0.25</v>
      </c>
      <c r="AX31" s="22" t="n">
        <v>0.833333333333333</v>
      </c>
      <c r="AY31" s="22" t="n">
        <v>0.416666666666667</v>
      </c>
      <c r="AZ31" s="31" t="n">
        <v>0</v>
      </c>
      <c r="BA31" s="22" t="n">
        <v>0.583333333333333</v>
      </c>
      <c r="BB31" s="22" t="n">
        <v>1.167</v>
      </c>
      <c r="BC31" s="22" t="n">
        <v>1.75</v>
      </c>
      <c r="BD31" s="13"/>
      <c r="BE31" s="13"/>
      <c r="BF31" s="13"/>
      <c r="BG31" s="28" t="n">
        <f aca="false">B31</f>
        <v>25</v>
      </c>
      <c r="BH31" s="28" t="n">
        <f aca="false">Y31</f>
        <v>7</v>
      </c>
      <c r="BI31" s="28" t="n">
        <f aca="false">D31+0.1</f>
        <v>3.1</v>
      </c>
      <c r="BJ31" s="28" t="n">
        <f aca="false">(E31*2)+0.1</f>
        <v>6.1</v>
      </c>
      <c r="BK31" s="28" t="n">
        <f aca="false">F31+0.1</f>
        <v>0.1</v>
      </c>
      <c r="BL31" s="28" t="n">
        <f aca="false">(G31*2)+0.1</f>
        <v>0.1</v>
      </c>
      <c r="BM31" s="28" t="n">
        <f aca="false">H31+0.1</f>
        <v>0.1</v>
      </c>
      <c r="BN31" s="28" t="n">
        <f aca="false">(I31*2)+0.1</f>
        <v>0.1</v>
      </c>
      <c r="BO31" s="28" t="n">
        <f aca="false">AW31</f>
        <v>0.25</v>
      </c>
      <c r="BP31" s="28" t="n">
        <f aca="false">AX31</f>
        <v>0.833333333333333</v>
      </c>
      <c r="BQ31" s="28" t="n">
        <f aca="false">AY31</f>
        <v>0.416666666666667</v>
      </c>
      <c r="BR31" s="28" t="n">
        <f aca="false">AZ31</f>
        <v>0</v>
      </c>
      <c r="BS31" s="28" t="n">
        <f aca="false">BA31</f>
        <v>0.583333333333333</v>
      </c>
      <c r="BT31" s="28" t="n">
        <f aca="false">BB31</f>
        <v>1.167</v>
      </c>
      <c r="BU31" s="28" t="n">
        <f aca="false">BC31</f>
        <v>1.75</v>
      </c>
    </row>
    <row r="32" customFormat="false" ht="18.3" hidden="false" customHeight="true" outlineLevel="0" collapsed="false">
      <c r="B32" s="12" t="n">
        <v>26</v>
      </c>
      <c r="C32" s="12"/>
      <c r="D32" s="12" t="n">
        <v>2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3"/>
      <c r="K32" s="12"/>
      <c r="L32" s="12"/>
      <c r="M32" s="30"/>
      <c r="N32" s="17"/>
      <c r="O32" s="30"/>
      <c r="P32" s="30"/>
      <c r="Q32" s="34" t="n">
        <v>1</v>
      </c>
      <c r="R32" s="30" t="n">
        <v>1</v>
      </c>
      <c r="S32" s="30" t="n">
        <v>1</v>
      </c>
      <c r="T32" s="18"/>
      <c r="U32" s="12"/>
      <c r="V32" s="12"/>
      <c r="W32" s="12"/>
      <c r="X32" s="13"/>
      <c r="Y32" s="12" t="n">
        <f aca="false">COUNT(K32:W32)</f>
        <v>3</v>
      </c>
      <c r="Z32" s="13"/>
      <c r="AG32" s="22" t="n">
        <v>0</v>
      </c>
      <c r="AH32" s="22" t="n">
        <v>0.583333333333333</v>
      </c>
      <c r="AI32" s="22" t="n">
        <v>0.166666666666667</v>
      </c>
      <c r="AN32" s="13"/>
      <c r="AO32" s="22"/>
      <c r="AP32" s="22"/>
      <c r="AQ32" s="22"/>
      <c r="AR32" s="22" t="n">
        <v>0</v>
      </c>
      <c r="AS32" s="22" t="n">
        <v>0.583333333333333</v>
      </c>
      <c r="AT32" s="22" t="n">
        <v>0.166666666666667</v>
      </c>
      <c r="AU32" s="22"/>
      <c r="AV32" s="13"/>
      <c r="AW32" s="22" t="n">
        <v>0</v>
      </c>
      <c r="AX32" s="22" t="n">
        <v>0</v>
      </c>
      <c r="AY32" s="22" t="n">
        <v>0.583333333333333</v>
      </c>
      <c r="AZ32" s="22" t="n">
        <v>0.583333333333333</v>
      </c>
      <c r="BA32" s="22" t="n">
        <v>0.583333333333333</v>
      </c>
      <c r="BB32" s="22" t="n">
        <v>0.166666666666667</v>
      </c>
      <c r="BC32" s="22" t="n">
        <v>0.166666666666667</v>
      </c>
      <c r="BD32" s="13"/>
      <c r="BE32" s="13"/>
      <c r="BF32" s="13"/>
      <c r="BG32" s="28" t="n">
        <f aca="false">B32</f>
        <v>26</v>
      </c>
      <c r="BH32" s="28" t="n">
        <f aca="false">Y32</f>
        <v>3</v>
      </c>
      <c r="BI32" s="28" t="n">
        <f aca="false">D32+0.1</f>
        <v>2.1</v>
      </c>
      <c r="BJ32" s="28" t="n">
        <f aca="false">(E32*2)+0.1</f>
        <v>0.1</v>
      </c>
      <c r="BK32" s="28" t="n">
        <f aca="false">F32+0.1</f>
        <v>0.1</v>
      </c>
      <c r="BL32" s="28" t="n">
        <f aca="false">(G32*2)+0.1</f>
        <v>0.1</v>
      </c>
      <c r="BM32" s="28" t="n">
        <f aca="false">H32+0.1</f>
        <v>0.1</v>
      </c>
      <c r="BN32" s="28" t="n">
        <f aca="false">(I32*2)+0.1</f>
        <v>0.1</v>
      </c>
      <c r="BO32" s="28" t="n">
        <f aca="false">AW32</f>
        <v>0</v>
      </c>
      <c r="BP32" s="28" t="n">
        <f aca="false">AX32</f>
        <v>0</v>
      </c>
      <c r="BQ32" s="28" t="n">
        <f aca="false">AY32</f>
        <v>0.583333333333333</v>
      </c>
      <c r="BR32" s="28" t="n">
        <f aca="false">AZ32</f>
        <v>0.583333333333333</v>
      </c>
      <c r="BS32" s="28" t="n">
        <f aca="false">BA32</f>
        <v>0.583333333333333</v>
      </c>
      <c r="BT32" s="28" t="n">
        <f aca="false">BB32</f>
        <v>0.166666666666667</v>
      </c>
      <c r="BU32" s="28" t="n">
        <f aca="false">BC32</f>
        <v>0.166666666666667</v>
      </c>
    </row>
    <row r="33" customFormat="false" ht="18.3" hidden="false" customHeight="true" outlineLevel="0" collapsed="false">
      <c r="B33" s="12" t="n">
        <v>27</v>
      </c>
      <c r="C33" s="12"/>
      <c r="D33" s="12" t="n">
        <v>2</v>
      </c>
      <c r="E33" s="12" t="n">
        <v>1</v>
      </c>
      <c r="F33" s="12" t="n">
        <v>0</v>
      </c>
      <c r="G33" s="12" t="n">
        <v>0</v>
      </c>
      <c r="H33" s="12" t="n">
        <v>0</v>
      </c>
      <c r="I33" s="12" t="n">
        <v>0</v>
      </c>
      <c r="J33" s="13"/>
      <c r="K33" s="12"/>
      <c r="L33" s="12"/>
      <c r="M33" s="30"/>
      <c r="N33" s="17"/>
      <c r="O33" s="12"/>
      <c r="P33" s="33" t="n">
        <v>1</v>
      </c>
      <c r="Q33" s="12" t="n">
        <v>1</v>
      </c>
      <c r="R33" s="12" t="n">
        <v>1</v>
      </c>
      <c r="S33" s="30" t="n">
        <v>1</v>
      </c>
      <c r="T33" s="18"/>
      <c r="U33" s="12"/>
      <c r="V33" s="12"/>
      <c r="W33" s="12"/>
      <c r="X33" s="13"/>
      <c r="Y33" s="12" t="n">
        <f aca="false">COUNT(K33:W33)</f>
        <v>4</v>
      </c>
      <c r="Z33" s="13"/>
      <c r="AF33" s="22" t="n">
        <v>0.416666666666667</v>
      </c>
      <c r="AG33" s="22" t="n">
        <v>0</v>
      </c>
      <c r="AH33" s="22" t="n">
        <v>0.583333333333333</v>
      </c>
      <c r="AI33" s="22" t="n">
        <v>0.166666666666667</v>
      </c>
      <c r="AN33" s="13"/>
      <c r="AO33" s="22"/>
      <c r="AP33" s="22"/>
      <c r="AQ33" s="22" t="n">
        <v>0.416666666666667</v>
      </c>
      <c r="AR33" s="22" t="n">
        <v>0</v>
      </c>
      <c r="AS33" s="22" t="n">
        <v>0.583333333333333</v>
      </c>
      <c r="AT33" s="22" t="n">
        <v>0.166666666666667</v>
      </c>
      <c r="AU33" s="22"/>
      <c r="AV33" s="13"/>
      <c r="AW33" s="22" t="n">
        <v>0.416666666666667</v>
      </c>
      <c r="AX33" s="31" t="n">
        <v>0</v>
      </c>
      <c r="AY33" s="31" t="n">
        <v>0</v>
      </c>
      <c r="AZ33" s="22" t="n">
        <v>0.583333333333333</v>
      </c>
      <c r="BA33" s="22" t="n">
        <v>0.583333333333333</v>
      </c>
      <c r="BB33" s="22" t="n">
        <v>0.166666666666667</v>
      </c>
      <c r="BC33" s="22" t="n">
        <v>0.166666666666667</v>
      </c>
      <c r="BD33" s="13"/>
      <c r="BE33" s="13"/>
      <c r="BF33" s="13"/>
      <c r="BG33" s="28" t="n">
        <f aca="false">B33</f>
        <v>27</v>
      </c>
      <c r="BH33" s="28" t="n">
        <f aca="false">Y33</f>
        <v>4</v>
      </c>
      <c r="BI33" s="28" t="n">
        <f aca="false">D33+0.1</f>
        <v>2.1</v>
      </c>
      <c r="BJ33" s="28" t="n">
        <f aca="false">(E33*2)+0.1</f>
        <v>2.1</v>
      </c>
      <c r="BK33" s="28" t="n">
        <f aca="false">F33+0.1</f>
        <v>0.1</v>
      </c>
      <c r="BL33" s="28" t="n">
        <f aca="false">(G33*2)+0.1</f>
        <v>0.1</v>
      </c>
      <c r="BM33" s="28" t="n">
        <f aca="false">H33+0.1</f>
        <v>0.1</v>
      </c>
      <c r="BN33" s="28" t="n">
        <f aca="false">(I33*2)+0.1</f>
        <v>0.1</v>
      </c>
      <c r="BO33" s="28" t="n">
        <f aca="false">AW33</f>
        <v>0.416666666666667</v>
      </c>
      <c r="BP33" s="28" t="n">
        <f aca="false">AX33</f>
        <v>0</v>
      </c>
      <c r="BQ33" s="28" t="n">
        <f aca="false">AY33</f>
        <v>0</v>
      </c>
      <c r="BR33" s="28" t="n">
        <f aca="false">AZ33</f>
        <v>0.583333333333333</v>
      </c>
      <c r="BS33" s="28" t="n">
        <f aca="false">BA33</f>
        <v>0.583333333333333</v>
      </c>
      <c r="BT33" s="28" t="n">
        <f aca="false">BB33</f>
        <v>0.166666666666667</v>
      </c>
      <c r="BU33" s="28" t="n">
        <f aca="false">BC33</f>
        <v>0.166666666666667</v>
      </c>
    </row>
    <row r="34" customFormat="false" ht="18.3" hidden="false" customHeight="true" outlineLevel="0" collapsed="false">
      <c r="B34" s="12" t="n">
        <v>28</v>
      </c>
      <c r="C34" s="12"/>
      <c r="D34" s="12" t="n">
        <v>2</v>
      </c>
      <c r="E34" s="12" t="n">
        <v>2</v>
      </c>
      <c r="F34" s="12" t="n">
        <v>0</v>
      </c>
      <c r="G34" s="12" t="n">
        <v>0</v>
      </c>
      <c r="H34" s="12" t="n">
        <v>0</v>
      </c>
      <c r="I34" s="12" t="n">
        <v>0</v>
      </c>
      <c r="J34" s="13"/>
      <c r="K34" s="12"/>
      <c r="L34" s="12"/>
      <c r="M34" s="30"/>
      <c r="N34" s="17"/>
      <c r="O34" s="33" t="n">
        <v>1</v>
      </c>
      <c r="P34" s="12" t="n">
        <v>1</v>
      </c>
      <c r="Q34" s="12" t="n">
        <v>1</v>
      </c>
      <c r="R34" s="12" t="n">
        <v>1</v>
      </c>
      <c r="S34" s="30" t="n">
        <v>1</v>
      </c>
      <c r="T34" s="18"/>
      <c r="U34" s="12"/>
      <c r="V34" s="12"/>
      <c r="W34" s="12"/>
      <c r="X34" s="13"/>
      <c r="Y34" s="12" t="n">
        <f aca="false">COUNT(K34:W34)</f>
        <v>5</v>
      </c>
      <c r="Z34" s="13"/>
      <c r="AE34" s="22" t="n">
        <v>0.833333333333333</v>
      </c>
      <c r="AF34" s="22" t="n">
        <v>0.416666666666667</v>
      </c>
      <c r="AG34" s="22" t="n">
        <v>0</v>
      </c>
      <c r="AH34" s="22" t="n">
        <v>0.583333333333333</v>
      </c>
      <c r="AI34" s="22" t="n">
        <v>0.166666666666667</v>
      </c>
      <c r="AN34" s="13"/>
      <c r="AO34" s="22"/>
      <c r="AP34" s="22" t="n">
        <v>0.833333333333333</v>
      </c>
      <c r="AQ34" s="22" t="n">
        <v>0.416666666666667</v>
      </c>
      <c r="AR34" s="22" t="n">
        <v>0</v>
      </c>
      <c r="AS34" s="22" t="n">
        <v>0.583333333333333</v>
      </c>
      <c r="AT34" s="22" t="n">
        <v>0.166666666666667</v>
      </c>
      <c r="AU34" s="22"/>
      <c r="AV34" s="13"/>
      <c r="AW34" s="22" t="n">
        <v>0.833333333333333</v>
      </c>
      <c r="AX34" s="22" t="n">
        <v>0.416666666666667</v>
      </c>
      <c r="AY34" s="22" t="n">
        <v>0.416666666666667</v>
      </c>
      <c r="AZ34" s="31" t="n">
        <v>0</v>
      </c>
      <c r="BA34" s="22" t="n">
        <v>0.583333333333333</v>
      </c>
      <c r="BB34" s="22" t="n">
        <v>0.583333333333333</v>
      </c>
      <c r="BC34" s="22" t="n">
        <v>0.166666666666667</v>
      </c>
      <c r="BD34" s="13"/>
      <c r="BE34" s="13"/>
      <c r="BF34" s="13"/>
      <c r="BG34" s="28" t="n">
        <f aca="false">B34</f>
        <v>28</v>
      </c>
      <c r="BH34" s="28" t="n">
        <f aca="false">Y34</f>
        <v>5</v>
      </c>
      <c r="BI34" s="28" t="n">
        <f aca="false">D34+0.1</f>
        <v>2.1</v>
      </c>
      <c r="BJ34" s="28" t="n">
        <f aca="false">(E34*2)+0.1</f>
        <v>4.1</v>
      </c>
      <c r="BK34" s="28" t="n">
        <f aca="false">F34+0.1</f>
        <v>0.1</v>
      </c>
      <c r="BL34" s="28" t="n">
        <f aca="false">(G34*2)+0.1</f>
        <v>0.1</v>
      </c>
      <c r="BM34" s="28" t="n">
        <f aca="false">H34+0.1</f>
        <v>0.1</v>
      </c>
      <c r="BN34" s="28" t="n">
        <f aca="false">(I34*2)+0.1</f>
        <v>0.1</v>
      </c>
      <c r="BO34" s="28" t="n">
        <f aca="false">AW34</f>
        <v>0.833333333333333</v>
      </c>
      <c r="BP34" s="28" t="n">
        <f aca="false">AX34</f>
        <v>0.416666666666667</v>
      </c>
      <c r="BQ34" s="28" t="n">
        <f aca="false">AY34</f>
        <v>0.416666666666667</v>
      </c>
      <c r="BR34" s="28" t="n">
        <f aca="false">AZ34</f>
        <v>0</v>
      </c>
      <c r="BS34" s="28" t="n">
        <f aca="false">BA34</f>
        <v>0.583333333333333</v>
      </c>
      <c r="BT34" s="28" t="n">
        <f aca="false">BB34</f>
        <v>0.583333333333333</v>
      </c>
      <c r="BU34" s="28" t="n">
        <f aca="false">BC34</f>
        <v>0.166666666666667</v>
      </c>
    </row>
    <row r="35" customFormat="false" ht="18.3" hidden="false" customHeight="true" outlineLevel="0" collapsed="false">
      <c r="B35" s="12" t="n">
        <v>29</v>
      </c>
      <c r="C35" s="12"/>
      <c r="D35" s="12" t="n">
        <v>2</v>
      </c>
      <c r="E35" s="12" t="n">
        <v>3</v>
      </c>
      <c r="F35" s="12" t="n">
        <v>0</v>
      </c>
      <c r="G35" s="12" t="n">
        <v>0</v>
      </c>
      <c r="H35" s="12" t="n">
        <v>0</v>
      </c>
      <c r="I35" s="12" t="n">
        <v>0</v>
      </c>
      <c r="J35" s="13"/>
      <c r="K35" s="12"/>
      <c r="L35" s="12"/>
      <c r="M35" s="30"/>
      <c r="N35" s="29" t="n">
        <v>1</v>
      </c>
      <c r="O35" s="12" t="n">
        <v>1</v>
      </c>
      <c r="P35" s="12" t="n">
        <v>1</v>
      </c>
      <c r="Q35" s="12" t="n">
        <v>1</v>
      </c>
      <c r="R35" s="12" t="n">
        <v>1</v>
      </c>
      <c r="S35" s="30" t="n">
        <v>1</v>
      </c>
      <c r="T35" s="18"/>
      <c r="U35" s="12"/>
      <c r="V35" s="12"/>
      <c r="W35" s="12"/>
      <c r="X35" s="13"/>
      <c r="Y35" s="12" t="n">
        <f aca="false">COUNT(K35:W35)</f>
        <v>6</v>
      </c>
      <c r="Z35" s="13"/>
      <c r="AD35" s="22" t="n">
        <v>0.25</v>
      </c>
      <c r="AE35" s="22" t="n">
        <v>0.833333333333333</v>
      </c>
      <c r="AF35" s="22" t="n">
        <v>0.416666666666667</v>
      </c>
      <c r="AG35" s="22" t="n">
        <v>0</v>
      </c>
      <c r="AH35" s="22" t="n">
        <v>0.583333333333333</v>
      </c>
      <c r="AI35" s="22" t="n">
        <v>1.167</v>
      </c>
      <c r="AN35" s="13"/>
      <c r="AO35" s="22" t="n">
        <v>0.25</v>
      </c>
      <c r="AP35" s="22" t="n">
        <v>0.833333333333333</v>
      </c>
      <c r="AQ35" s="22" t="n">
        <v>0.416666666666667</v>
      </c>
      <c r="AR35" s="22" t="n">
        <v>0</v>
      </c>
      <c r="AS35" s="22" t="n">
        <v>0.583333333333333</v>
      </c>
      <c r="AT35" s="22" t="n">
        <v>1.167</v>
      </c>
      <c r="AU35" s="22"/>
      <c r="AV35" s="13"/>
      <c r="AW35" s="22" t="n">
        <v>0.25</v>
      </c>
      <c r="AX35" s="22" t="n">
        <v>0.833333333333333</v>
      </c>
      <c r="AY35" s="22" t="n">
        <v>0.416666666666667</v>
      </c>
      <c r="AZ35" s="31" t="n">
        <v>0</v>
      </c>
      <c r="BA35" s="22" t="n">
        <v>0.583333333333333</v>
      </c>
      <c r="BB35" s="22" t="n">
        <v>0.583333333333333</v>
      </c>
      <c r="BC35" s="22" t="n">
        <v>1.167</v>
      </c>
      <c r="BD35" s="13"/>
      <c r="BE35" s="13"/>
      <c r="BF35" s="13"/>
      <c r="BG35" s="28" t="n">
        <f aca="false">B35</f>
        <v>29</v>
      </c>
      <c r="BH35" s="28" t="n">
        <f aca="false">Y35</f>
        <v>6</v>
      </c>
      <c r="BI35" s="28" t="n">
        <f aca="false">D35+0.1</f>
        <v>2.1</v>
      </c>
      <c r="BJ35" s="28" t="n">
        <f aca="false">(E35*2)+0.1</f>
        <v>6.1</v>
      </c>
      <c r="BK35" s="28" t="n">
        <f aca="false">F35+0.1</f>
        <v>0.1</v>
      </c>
      <c r="BL35" s="28" t="n">
        <f aca="false">(G35*2)+0.1</f>
        <v>0.1</v>
      </c>
      <c r="BM35" s="28" t="n">
        <f aca="false">H35+0.1</f>
        <v>0.1</v>
      </c>
      <c r="BN35" s="28" t="n">
        <f aca="false">(I35*2)+0.1</f>
        <v>0.1</v>
      </c>
      <c r="BO35" s="28" t="n">
        <f aca="false">AW35</f>
        <v>0.25</v>
      </c>
      <c r="BP35" s="28" t="n">
        <f aca="false">AX35</f>
        <v>0.833333333333333</v>
      </c>
      <c r="BQ35" s="28" t="n">
        <f aca="false">AY35</f>
        <v>0.416666666666667</v>
      </c>
      <c r="BR35" s="28" t="n">
        <f aca="false">AZ35</f>
        <v>0</v>
      </c>
      <c r="BS35" s="28" t="n">
        <f aca="false">BA35</f>
        <v>0.583333333333333</v>
      </c>
      <c r="BT35" s="28" t="n">
        <f aca="false">BB35</f>
        <v>0.583333333333333</v>
      </c>
      <c r="BU35" s="28" t="n">
        <f aca="false">BC35</f>
        <v>1.167</v>
      </c>
    </row>
    <row r="36" customFormat="false" ht="18.3" hidden="false" customHeight="true" outlineLevel="0" collapsed="false">
      <c r="B36" s="12" t="n">
        <v>30</v>
      </c>
      <c r="C36" s="12"/>
      <c r="D36" s="12" t="n">
        <v>2</v>
      </c>
      <c r="E36" s="12" t="n">
        <v>0</v>
      </c>
      <c r="F36" s="12" t="n">
        <v>0</v>
      </c>
      <c r="G36" s="12" t="n">
        <v>0</v>
      </c>
      <c r="H36" s="12" t="n">
        <v>1</v>
      </c>
      <c r="I36" s="12" t="n">
        <v>0</v>
      </c>
      <c r="J36" s="13"/>
      <c r="K36" s="12"/>
      <c r="L36" s="12"/>
      <c r="M36" s="30"/>
      <c r="N36" s="32" t="n">
        <v>1</v>
      </c>
      <c r="O36" s="20" t="n">
        <v>1</v>
      </c>
      <c r="P36" s="20" t="n">
        <v>1</v>
      </c>
      <c r="Q36" s="20" t="n">
        <v>1</v>
      </c>
      <c r="R36" s="20" t="n">
        <v>1</v>
      </c>
      <c r="S36" s="20" t="n">
        <v>1</v>
      </c>
      <c r="T36" s="21"/>
      <c r="U36" s="12"/>
      <c r="V36" s="12"/>
      <c r="W36" s="12"/>
      <c r="X36" s="13"/>
      <c r="Y36" s="12" t="n">
        <f aca="false">COUNT(K36:W36)</f>
        <v>6</v>
      </c>
      <c r="Z36" s="13"/>
      <c r="AD36" s="22" t="n">
        <v>0.25</v>
      </c>
      <c r="AE36" s="22" t="n">
        <v>0.833333333333333</v>
      </c>
      <c r="AF36" s="22" t="n">
        <v>0.416666666666667</v>
      </c>
      <c r="AG36" s="22" t="n">
        <v>0</v>
      </c>
      <c r="AH36" s="22" t="n">
        <v>0.583333333333333</v>
      </c>
      <c r="AI36" s="22" t="n">
        <v>1.167</v>
      </c>
      <c r="AN36" s="13"/>
      <c r="AO36" s="22" t="n">
        <v>0.25</v>
      </c>
      <c r="AP36" s="22" t="n">
        <v>0.833333333333333</v>
      </c>
      <c r="AQ36" s="22" t="n">
        <v>0.416666666666667</v>
      </c>
      <c r="AR36" s="22" t="n">
        <v>0</v>
      </c>
      <c r="AS36" s="22" t="n">
        <v>0.583333333333333</v>
      </c>
      <c r="AT36" s="22" t="n">
        <v>1.167</v>
      </c>
      <c r="AU36" s="22"/>
      <c r="AV36" s="13"/>
      <c r="AW36" s="22" t="n">
        <v>0.25</v>
      </c>
      <c r="AX36" s="22" t="n">
        <v>0.833333333333333</v>
      </c>
      <c r="AY36" s="22" t="n">
        <v>0.416666666666667</v>
      </c>
      <c r="AZ36" s="31" t="n">
        <v>0</v>
      </c>
      <c r="BA36" s="22" t="n">
        <v>0.583333333333333</v>
      </c>
      <c r="BB36" s="22" t="n">
        <v>0.583333333333333</v>
      </c>
      <c r="BC36" s="22" t="n">
        <v>1.167</v>
      </c>
      <c r="BD36" s="13"/>
      <c r="BE36" s="13"/>
      <c r="BF36" s="13"/>
      <c r="BG36" s="28" t="n">
        <f aca="false">B36</f>
        <v>30</v>
      </c>
      <c r="BH36" s="28" t="n">
        <f aca="false">Y36</f>
        <v>6</v>
      </c>
      <c r="BI36" s="28" t="n">
        <f aca="false">D36+0.1</f>
        <v>2.1</v>
      </c>
      <c r="BJ36" s="28" t="n">
        <f aca="false">(E36*2)+0.1</f>
        <v>0.1</v>
      </c>
      <c r="BK36" s="28" t="n">
        <f aca="false">F36+0.1</f>
        <v>0.1</v>
      </c>
      <c r="BL36" s="28" t="n">
        <f aca="false">(G36*2)+0.1</f>
        <v>0.1</v>
      </c>
      <c r="BM36" s="28" t="n">
        <f aca="false">H36+0.1</f>
        <v>1.1</v>
      </c>
      <c r="BN36" s="28" t="n">
        <f aca="false">(I36*2)+0.1</f>
        <v>0.1</v>
      </c>
      <c r="BO36" s="28" t="n">
        <f aca="false">AW36</f>
        <v>0.25</v>
      </c>
      <c r="BP36" s="28" t="n">
        <f aca="false">AX36</f>
        <v>0.833333333333333</v>
      </c>
      <c r="BQ36" s="28" t="n">
        <f aca="false">AY36</f>
        <v>0.416666666666667</v>
      </c>
      <c r="BR36" s="28" t="n">
        <f aca="false">AZ36</f>
        <v>0</v>
      </c>
      <c r="BS36" s="28" t="n">
        <f aca="false">BA36</f>
        <v>0.583333333333333</v>
      </c>
      <c r="BT36" s="28" t="n">
        <f aca="false">BB36</f>
        <v>0.583333333333333</v>
      </c>
      <c r="BU36" s="28" t="n">
        <f aca="false">BC36</f>
        <v>1.167</v>
      </c>
    </row>
    <row r="37" customFormat="false" ht="18.3" hidden="false" customHeight="true" outlineLevel="0" collapsed="false">
      <c r="B37" s="12" t="n">
        <v>31</v>
      </c>
      <c r="C37" s="12"/>
      <c r="D37" s="12" t="n">
        <v>2</v>
      </c>
      <c r="E37" s="12" t="n">
        <v>4</v>
      </c>
      <c r="F37" s="12" t="n">
        <v>0</v>
      </c>
      <c r="G37" s="12" t="n">
        <v>0</v>
      </c>
      <c r="H37" s="12" t="n">
        <v>0</v>
      </c>
      <c r="I37" s="12" t="n">
        <v>0</v>
      </c>
      <c r="J37" s="13"/>
      <c r="K37" s="12"/>
      <c r="L37" s="12"/>
      <c r="M37" s="27" t="n">
        <v>1</v>
      </c>
      <c r="N37" s="15" t="n">
        <v>1</v>
      </c>
      <c r="O37" s="15" t="n">
        <v>1</v>
      </c>
      <c r="P37" s="15" t="n">
        <v>1</v>
      </c>
      <c r="Q37" s="15" t="n">
        <v>1</v>
      </c>
      <c r="R37" s="15" t="n">
        <v>1</v>
      </c>
      <c r="S37" s="16" t="n">
        <v>1</v>
      </c>
      <c r="T37" s="12"/>
      <c r="U37" s="12"/>
      <c r="V37" s="12"/>
      <c r="W37" s="12"/>
      <c r="X37" s="13"/>
      <c r="Y37" s="12" t="n">
        <f aca="false">COUNT(K37:W37)</f>
        <v>7</v>
      </c>
      <c r="Z37" s="13"/>
      <c r="AC37" s="22" t="n">
        <v>0.666666666666667</v>
      </c>
      <c r="AD37" s="22" t="n">
        <v>0.25</v>
      </c>
      <c r="AE37" s="22" t="n">
        <v>0.833333333333333</v>
      </c>
      <c r="AF37" s="22" t="n">
        <v>0.416666666666667</v>
      </c>
      <c r="AG37" s="22" t="n">
        <v>0</v>
      </c>
      <c r="AH37" s="22" t="n">
        <v>1.583</v>
      </c>
      <c r="AI37" s="22" t="n">
        <v>1.167</v>
      </c>
      <c r="AN37" s="13"/>
      <c r="AO37" s="22" t="n">
        <v>0.666666666666667</v>
      </c>
      <c r="AP37" s="22" t="n">
        <v>0.25</v>
      </c>
      <c r="AQ37" s="22" t="n">
        <v>0.833333333333333</v>
      </c>
      <c r="AR37" s="22" t="n">
        <v>0.416666666666667</v>
      </c>
      <c r="AS37" s="22" t="n">
        <v>0</v>
      </c>
      <c r="AT37" s="22" t="n">
        <v>1.583</v>
      </c>
      <c r="AU37" s="22" t="n">
        <v>1.167</v>
      </c>
      <c r="AV37" s="13"/>
      <c r="AW37" s="22" t="n">
        <v>0.666666666666667</v>
      </c>
      <c r="AX37" s="22" t="n">
        <v>0.25</v>
      </c>
      <c r="AY37" s="22" t="n">
        <v>0.833333333333333</v>
      </c>
      <c r="AZ37" s="31" t="n">
        <v>0.416666666666667</v>
      </c>
      <c r="BA37" s="22" t="n">
        <v>0</v>
      </c>
      <c r="BB37" s="22" t="n">
        <v>1.583</v>
      </c>
      <c r="BC37" s="22" t="n">
        <v>1.167</v>
      </c>
      <c r="BD37" s="13"/>
      <c r="BE37" s="13"/>
      <c r="BF37" s="13"/>
      <c r="BG37" s="28" t="n">
        <f aca="false">B37</f>
        <v>31</v>
      </c>
      <c r="BH37" s="28" t="n">
        <f aca="false">Y37</f>
        <v>7</v>
      </c>
      <c r="BI37" s="28" t="n">
        <f aca="false">D37+0.1</f>
        <v>2.1</v>
      </c>
      <c r="BJ37" s="28" t="n">
        <f aca="false">(E37*2)+0.1</f>
        <v>8.1</v>
      </c>
      <c r="BK37" s="28" t="n">
        <f aca="false">F37+0.1</f>
        <v>0.1</v>
      </c>
      <c r="BL37" s="28" t="n">
        <f aca="false">(G37*2)+0.1</f>
        <v>0.1</v>
      </c>
      <c r="BM37" s="28" t="n">
        <f aca="false">H37+0.1</f>
        <v>0.1</v>
      </c>
      <c r="BN37" s="28" t="n">
        <f aca="false">(I37*2)+0.1</f>
        <v>0.1</v>
      </c>
      <c r="BO37" s="28" t="n">
        <f aca="false">AW37</f>
        <v>0.666666666666667</v>
      </c>
      <c r="BP37" s="28" t="n">
        <f aca="false">AX37</f>
        <v>0.25</v>
      </c>
      <c r="BQ37" s="28" t="n">
        <f aca="false">AY37</f>
        <v>0.833333333333333</v>
      </c>
      <c r="BR37" s="28" t="n">
        <f aca="false">AZ37</f>
        <v>0.416666666666667</v>
      </c>
      <c r="BS37" s="28" t="n">
        <f aca="false">BA37</f>
        <v>0</v>
      </c>
      <c r="BT37" s="28" t="n">
        <f aca="false">BB37</f>
        <v>1.583</v>
      </c>
      <c r="BU37" s="28" t="n">
        <f aca="false">BC37</f>
        <v>1.167</v>
      </c>
    </row>
    <row r="38" customFormat="false" ht="18.3" hidden="false" customHeight="true" outlineLevel="0" collapsed="false">
      <c r="B38" s="12" t="n">
        <v>32</v>
      </c>
      <c r="C38" s="12"/>
      <c r="D38" s="12" t="n">
        <v>2</v>
      </c>
      <c r="E38" s="12" t="n">
        <v>1</v>
      </c>
      <c r="F38" s="12" t="n">
        <v>0</v>
      </c>
      <c r="G38" s="12" t="n">
        <v>0</v>
      </c>
      <c r="H38" s="12" t="n">
        <v>1</v>
      </c>
      <c r="I38" s="12" t="n">
        <v>0</v>
      </c>
      <c r="J38" s="13"/>
      <c r="K38" s="12"/>
      <c r="L38" s="12"/>
      <c r="M38" s="29" t="n">
        <v>1</v>
      </c>
      <c r="N38" s="30" t="n">
        <v>1</v>
      </c>
      <c r="O38" s="30" t="n">
        <v>1</v>
      </c>
      <c r="P38" s="30" t="n">
        <v>1</v>
      </c>
      <c r="Q38" s="30" t="n">
        <v>1</v>
      </c>
      <c r="R38" s="30" t="n">
        <v>1</v>
      </c>
      <c r="S38" s="18" t="n">
        <v>1</v>
      </c>
      <c r="T38" s="12"/>
      <c r="U38" s="12"/>
      <c r="V38" s="12"/>
      <c r="W38" s="12"/>
      <c r="X38" s="13"/>
      <c r="Y38" s="12" t="n">
        <f aca="false">COUNT(K38:W38)</f>
        <v>7</v>
      </c>
      <c r="Z38" s="13"/>
      <c r="AC38" s="22" t="n">
        <v>0.666666666666667</v>
      </c>
      <c r="AD38" s="22" t="n">
        <v>0.25</v>
      </c>
      <c r="AE38" s="22" t="n">
        <v>0.833333333333333</v>
      </c>
      <c r="AF38" s="22" t="n">
        <v>0.416666666666667</v>
      </c>
      <c r="AG38" s="22" t="n">
        <v>0</v>
      </c>
      <c r="AH38" s="22" t="n">
        <v>1.583</v>
      </c>
      <c r="AI38" s="22" t="n">
        <v>1.167</v>
      </c>
      <c r="AN38" s="13"/>
      <c r="AO38" s="22" t="n">
        <v>0.666666666666667</v>
      </c>
      <c r="AP38" s="22" t="n">
        <v>0.25</v>
      </c>
      <c r="AQ38" s="22" t="n">
        <v>0.833333333333333</v>
      </c>
      <c r="AR38" s="22" t="n">
        <v>0.416666666666667</v>
      </c>
      <c r="AS38" s="22" t="n">
        <v>0</v>
      </c>
      <c r="AT38" s="22" t="n">
        <v>1.583</v>
      </c>
      <c r="AU38" s="22" t="n">
        <v>1.167</v>
      </c>
      <c r="AV38" s="13"/>
      <c r="AW38" s="22" t="n">
        <v>0.666666666666667</v>
      </c>
      <c r="AX38" s="22" t="n">
        <v>0.25</v>
      </c>
      <c r="AY38" s="22" t="n">
        <v>0.833333333333333</v>
      </c>
      <c r="AZ38" s="31" t="n">
        <v>0.416666666666667</v>
      </c>
      <c r="BA38" s="22" t="n">
        <v>0</v>
      </c>
      <c r="BB38" s="22" t="n">
        <v>1.583</v>
      </c>
      <c r="BC38" s="22" t="n">
        <v>1.167</v>
      </c>
      <c r="BD38" s="13"/>
      <c r="BE38" s="13"/>
      <c r="BF38" s="13"/>
      <c r="BG38" s="28" t="n">
        <f aca="false">B38</f>
        <v>32</v>
      </c>
      <c r="BH38" s="28" t="n">
        <f aca="false">Y38</f>
        <v>7</v>
      </c>
      <c r="BI38" s="28" t="n">
        <f aca="false">D38+0.1</f>
        <v>2.1</v>
      </c>
      <c r="BJ38" s="28" t="n">
        <f aca="false">(E38*2)+0.1</f>
        <v>2.1</v>
      </c>
      <c r="BK38" s="28" t="n">
        <f aca="false">F38+0.1</f>
        <v>0.1</v>
      </c>
      <c r="BL38" s="28" t="n">
        <f aca="false">(G38*2)+0.1</f>
        <v>0.1</v>
      </c>
      <c r="BM38" s="28" t="n">
        <f aca="false">H38+0.1</f>
        <v>1.1</v>
      </c>
      <c r="BN38" s="28" t="n">
        <f aca="false">(I38*2)+0.1</f>
        <v>0.1</v>
      </c>
      <c r="BO38" s="28" t="n">
        <f aca="false">AW38</f>
        <v>0.666666666666667</v>
      </c>
      <c r="BP38" s="28" t="n">
        <f aca="false">AX38</f>
        <v>0.25</v>
      </c>
      <c r="BQ38" s="28" t="n">
        <f aca="false">AY38</f>
        <v>0.833333333333333</v>
      </c>
      <c r="BR38" s="28" t="n">
        <f aca="false">AZ38</f>
        <v>0.416666666666667</v>
      </c>
      <c r="BS38" s="28" t="n">
        <f aca="false">BA38</f>
        <v>0</v>
      </c>
      <c r="BT38" s="28" t="n">
        <f aca="false">BB38</f>
        <v>1.583</v>
      </c>
      <c r="BU38" s="28" t="n">
        <f aca="false">BC38</f>
        <v>1.167</v>
      </c>
    </row>
    <row r="39" customFormat="false" ht="18.3" hidden="false" customHeight="true" outlineLevel="0" collapsed="false">
      <c r="B39" s="12" t="n">
        <v>33</v>
      </c>
      <c r="C39" s="12"/>
      <c r="D39" s="12" t="n">
        <v>2</v>
      </c>
      <c r="E39" s="12" t="n">
        <v>0</v>
      </c>
      <c r="F39" s="12" t="n">
        <v>0</v>
      </c>
      <c r="G39" s="12" t="n">
        <v>1</v>
      </c>
      <c r="H39" s="12" t="n">
        <v>0</v>
      </c>
      <c r="I39" s="12" t="n">
        <v>0</v>
      </c>
      <c r="J39" s="13"/>
      <c r="K39" s="12"/>
      <c r="L39" s="12"/>
      <c r="M39" s="29" t="n">
        <v>1</v>
      </c>
      <c r="N39" s="12" t="n">
        <v>1</v>
      </c>
      <c r="O39" s="12" t="n">
        <v>1</v>
      </c>
      <c r="P39" s="12"/>
      <c r="Q39" s="12" t="n">
        <v>1</v>
      </c>
      <c r="R39" s="12" t="n">
        <v>1</v>
      </c>
      <c r="S39" s="18" t="n">
        <v>1</v>
      </c>
      <c r="T39" s="12"/>
      <c r="U39" s="12"/>
      <c r="V39" s="12"/>
      <c r="W39" s="12"/>
      <c r="X39" s="13"/>
      <c r="Y39" s="12" t="n">
        <f aca="false">COUNT(K39:W39)</f>
        <v>6</v>
      </c>
      <c r="Z39" s="13"/>
      <c r="AC39" s="22" t="n">
        <v>0.666666666666667</v>
      </c>
      <c r="AD39" s="22" t="n">
        <v>0.25</v>
      </c>
      <c r="AE39" s="22" t="n">
        <v>0.833333333333333</v>
      </c>
      <c r="AG39" s="22" t="n">
        <v>0</v>
      </c>
      <c r="AH39" s="22" t="n">
        <v>1.583</v>
      </c>
      <c r="AI39" s="22" t="n">
        <v>1.167</v>
      </c>
      <c r="AN39" s="13"/>
      <c r="AO39" s="22" t="n">
        <v>0.666666666666667</v>
      </c>
      <c r="AP39" s="22" t="n">
        <v>0.25</v>
      </c>
      <c r="AQ39" s="22" t="n">
        <v>0.833333333333333</v>
      </c>
      <c r="AR39" s="22"/>
      <c r="AS39" s="22" t="n">
        <v>0</v>
      </c>
      <c r="AT39" s="22" t="n">
        <v>1.583</v>
      </c>
      <c r="AU39" s="22" t="n">
        <v>1.167</v>
      </c>
      <c r="AV39" s="13"/>
      <c r="AW39" s="22" t="n">
        <v>0.666666666666667</v>
      </c>
      <c r="AX39" s="22" t="n">
        <v>0.25</v>
      </c>
      <c r="AY39" s="22" t="n">
        <v>0.833333333333333</v>
      </c>
      <c r="AZ39" s="22" t="n">
        <v>0</v>
      </c>
      <c r="BA39" s="22" t="n">
        <v>0</v>
      </c>
      <c r="BB39" s="22" t="n">
        <v>1.583</v>
      </c>
      <c r="BC39" s="22" t="n">
        <v>1.167</v>
      </c>
      <c r="BD39" s="13"/>
      <c r="BE39" s="13"/>
      <c r="BF39" s="13"/>
      <c r="BG39" s="28" t="n">
        <f aca="false">B39</f>
        <v>33</v>
      </c>
      <c r="BH39" s="28" t="n">
        <f aca="false">Y39</f>
        <v>6</v>
      </c>
      <c r="BI39" s="28" t="n">
        <f aca="false">D39+0.1</f>
        <v>2.1</v>
      </c>
      <c r="BJ39" s="28" t="n">
        <f aca="false">(E39*2)+0.1</f>
        <v>0.1</v>
      </c>
      <c r="BK39" s="28" t="n">
        <f aca="false">F39+0.1</f>
        <v>0.1</v>
      </c>
      <c r="BL39" s="28" t="n">
        <f aca="false">(G39*2)+0.1</f>
        <v>2.1</v>
      </c>
      <c r="BM39" s="28" t="n">
        <f aca="false">H39+0.1</f>
        <v>0.1</v>
      </c>
      <c r="BN39" s="28" t="n">
        <f aca="false">(I39*2)+0.1</f>
        <v>0.1</v>
      </c>
      <c r="BO39" s="28" t="n">
        <f aca="false">AW39</f>
        <v>0.666666666666667</v>
      </c>
      <c r="BP39" s="28" t="n">
        <f aca="false">AX39</f>
        <v>0.25</v>
      </c>
      <c r="BQ39" s="28" t="n">
        <f aca="false">AY39</f>
        <v>0.833333333333333</v>
      </c>
      <c r="BR39" s="28" t="n">
        <f aca="false">AZ39</f>
        <v>0</v>
      </c>
      <c r="BS39" s="28" t="n">
        <f aca="false">BA39</f>
        <v>0</v>
      </c>
      <c r="BT39" s="28" t="n">
        <f aca="false">BB39</f>
        <v>1.583</v>
      </c>
      <c r="BU39" s="28" t="n">
        <f aca="false">BC39</f>
        <v>1.167</v>
      </c>
    </row>
    <row r="40" customFormat="false" ht="18.3" hidden="false" customHeight="true" outlineLevel="0" collapsed="false">
      <c r="B40" s="12" t="n">
        <v>34</v>
      </c>
      <c r="C40" s="12"/>
      <c r="D40" s="12" t="n">
        <v>1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3"/>
      <c r="K40" s="12"/>
      <c r="L40" s="30"/>
      <c r="M40" s="17"/>
      <c r="N40" s="30"/>
      <c r="O40" s="30"/>
      <c r="P40" s="30"/>
      <c r="Q40" s="34" t="n">
        <v>1</v>
      </c>
      <c r="R40" s="30" t="n">
        <v>1</v>
      </c>
      <c r="S40" s="18"/>
      <c r="T40" s="12"/>
      <c r="U40" s="12"/>
      <c r="V40" s="12"/>
      <c r="W40" s="12"/>
      <c r="X40" s="13"/>
      <c r="Y40" s="12" t="n">
        <f aca="false">COUNT(K40:W40)</f>
        <v>2</v>
      </c>
      <c r="Z40" s="13"/>
      <c r="AG40" s="22" t="n">
        <v>0</v>
      </c>
      <c r="AH40" s="22" t="n">
        <v>0.583333333333333</v>
      </c>
      <c r="AN40" s="13"/>
      <c r="AO40" s="22"/>
      <c r="AP40" s="22"/>
      <c r="AQ40" s="22"/>
      <c r="AR40" s="22"/>
      <c r="AS40" s="22" t="n">
        <v>0</v>
      </c>
      <c r="AT40" s="22" t="n">
        <v>0.583333333333333</v>
      </c>
      <c r="AU40" s="22"/>
      <c r="AV40" s="13"/>
      <c r="AW40" s="22" t="n">
        <v>0</v>
      </c>
      <c r="AX40" s="22" t="n">
        <v>0</v>
      </c>
      <c r="AY40" s="22" t="n">
        <v>0</v>
      </c>
      <c r="AZ40" s="22" t="n">
        <v>0.583333333333333</v>
      </c>
      <c r="BA40" s="22" t="n">
        <v>0.583333333333333</v>
      </c>
      <c r="BB40" s="22" t="n">
        <v>0.583333333333333</v>
      </c>
      <c r="BC40" s="22" t="n">
        <v>0.583333333333333</v>
      </c>
      <c r="BD40" s="13"/>
      <c r="BE40" s="13"/>
      <c r="BF40" s="13"/>
      <c r="BG40" s="28" t="n">
        <f aca="false">B40</f>
        <v>34</v>
      </c>
      <c r="BH40" s="28" t="n">
        <f aca="false">Y40</f>
        <v>2</v>
      </c>
      <c r="BI40" s="28" t="n">
        <f aca="false">D40+0.1</f>
        <v>1.1</v>
      </c>
      <c r="BJ40" s="28" t="n">
        <f aca="false">(E40*2)+0.1</f>
        <v>0.1</v>
      </c>
      <c r="BK40" s="28" t="n">
        <f aca="false">F40+0.1</f>
        <v>0.1</v>
      </c>
      <c r="BL40" s="28" t="n">
        <f aca="false">(G40*2)+0.1</f>
        <v>0.1</v>
      </c>
      <c r="BM40" s="28" t="n">
        <f aca="false">H40+0.1</f>
        <v>0.1</v>
      </c>
      <c r="BN40" s="28" t="n">
        <f aca="false">(I40*2)+0.1</f>
        <v>0.1</v>
      </c>
      <c r="BO40" s="28" t="n">
        <f aca="false">AW40</f>
        <v>0</v>
      </c>
      <c r="BP40" s="28" t="n">
        <f aca="false">AX40</f>
        <v>0</v>
      </c>
      <c r="BQ40" s="28" t="n">
        <f aca="false">AY40</f>
        <v>0</v>
      </c>
      <c r="BR40" s="28" t="n">
        <f aca="false">AZ40</f>
        <v>0.583333333333333</v>
      </c>
      <c r="BS40" s="28" t="n">
        <f aca="false">BA40</f>
        <v>0.583333333333333</v>
      </c>
      <c r="BT40" s="28" t="n">
        <f aca="false">BB40</f>
        <v>0.583333333333333</v>
      </c>
      <c r="BU40" s="28" t="n">
        <f aca="false">BC40</f>
        <v>0.583333333333333</v>
      </c>
    </row>
    <row r="41" customFormat="false" ht="18.3" hidden="false" customHeight="true" outlineLevel="0" collapsed="false">
      <c r="B41" s="12" t="n">
        <v>35</v>
      </c>
      <c r="C41" s="12"/>
      <c r="D41" s="12" t="n">
        <v>1</v>
      </c>
      <c r="E41" s="12" t="n">
        <v>1</v>
      </c>
      <c r="F41" s="12" t="n">
        <v>0</v>
      </c>
      <c r="G41" s="12" t="n">
        <v>0</v>
      </c>
      <c r="H41" s="12" t="n">
        <v>0</v>
      </c>
      <c r="I41" s="12" t="n">
        <v>0</v>
      </c>
      <c r="J41" s="13"/>
      <c r="K41" s="12"/>
      <c r="L41" s="30"/>
      <c r="M41" s="17"/>
      <c r="N41" s="12"/>
      <c r="O41" s="12"/>
      <c r="P41" s="33" t="n">
        <v>1</v>
      </c>
      <c r="Q41" s="12" t="n">
        <v>1</v>
      </c>
      <c r="R41" s="30" t="n">
        <v>1</v>
      </c>
      <c r="S41" s="18"/>
      <c r="T41" s="12"/>
      <c r="U41" s="12"/>
      <c r="V41" s="12"/>
      <c r="W41" s="12"/>
      <c r="X41" s="13"/>
      <c r="Y41" s="12" t="n">
        <f aca="false">COUNT(K41:W41)</f>
        <v>3</v>
      </c>
      <c r="Z41" s="13"/>
      <c r="AF41" s="22" t="n">
        <v>0.416666666666667</v>
      </c>
      <c r="AG41" s="22" t="n">
        <v>0</v>
      </c>
      <c r="AH41" s="22" t="n">
        <v>0.583333333333333</v>
      </c>
      <c r="AN41" s="13"/>
      <c r="AO41" s="22"/>
      <c r="AP41" s="22"/>
      <c r="AQ41" s="22"/>
      <c r="AR41" s="22" t="n">
        <v>0.416666666666667</v>
      </c>
      <c r="AS41" s="22" t="n">
        <v>0</v>
      </c>
      <c r="AT41" s="22" t="n">
        <v>0.583333333333333</v>
      </c>
      <c r="AU41" s="22"/>
      <c r="AV41" s="13"/>
      <c r="AW41" s="22" t="n">
        <v>0.416666666666667</v>
      </c>
      <c r="AX41" s="22" t="n">
        <v>0.416666666666667</v>
      </c>
      <c r="AY41" s="22" t="n">
        <v>0</v>
      </c>
      <c r="AZ41" s="22" t="n">
        <v>0</v>
      </c>
      <c r="BA41" s="22" t="n">
        <v>0</v>
      </c>
      <c r="BB41" s="22" t="n">
        <v>0.583333333333333</v>
      </c>
      <c r="BC41" s="22" t="n">
        <v>0.583333333333333</v>
      </c>
      <c r="BD41" s="13"/>
      <c r="BE41" s="13"/>
      <c r="BF41" s="13"/>
      <c r="BG41" s="28" t="n">
        <f aca="false">B41</f>
        <v>35</v>
      </c>
      <c r="BH41" s="28" t="n">
        <f aca="false">Y41</f>
        <v>3</v>
      </c>
      <c r="BI41" s="28" t="n">
        <f aca="false">D41+0.1</f>
        <v>1.1</v>
      </c>
      <c r="BJ41" s="28" t="n">
        <f aca="false">(E41*2)+0.1</f>
        <v>2.1</v>
      </c>
      <c r="BK41" s="28" t="n">
        <f aca="false">F41+0.1</f>
        <v>0.1</v>
      </c>
      <c r="BL41" s="28" t="n">
        <f aca="false">(G41*2)+0.1</f>
        <v>0.1</v>
      </c>
      <c r="BM41" s="28" t="n">
        <f aca="false">H41+0.1</f>
        <v>0.1</v>
      </c>
      <c r="BN41" s="28" t="n">
        <f aca="false">(I41*2)+0.1</f>
        <v>0.1</v>
      </c>
      <c r="BO41" s="28" t="n">
        <f aca="false">AW41</f>
        <v>0.416666666666667</v>
      </c>
      <c r="BP41" s="28" t="n">
        <f aca="false">AX41</f>
        <v>0.416666666666667</v>
      </c>
      <c r="BQ41" s="28" t="n">
        <f aca="false">AY41</f>
        <v>0</v>
      </c>
      <c r="BR41" s="28" t="n">
        <f aca="false">AZ41</f>
        <v>0</v>
      </c>
      <c r="BS41" s="28" t="n">
        <f aca="false">BA41</f>
        <v>0</v>
      </c>
      <c r="BT41" s="28" t="n">
        <f aca="false">BB41</f>
        <v>0.583333333333333</v>
      </c>
      <c r="BU41" s="28" t="n">
        <f aca="false">BC41</f>
        <v>0.583333333333333</v>
      </c>
    </row>
    <row r="42" customFormat="false" ht="18.3" hidden="false" customHeight="true" outlineLevel="0" collapsed="false">
      <c r="B42" s="12" t="n">
        <v>36</v>
      </c>
      <c r="C42" s="12"/>
      <c r="D42" s="12" t="n">
        <v>1</v>
      </c>
      <c r="E42" s="12" t="n">
        <v>2</v>
      </c>
      <c r="F42" s="12" t="n">
        <v>0</v>
      </c>
      <c r="G42" s="12" t="n">
        <v>0</v>
      </c>
      <c r="H42" s="12" t="n">
        <v>0</v>
      </c>
      <c r="I42" s="12" t="n">
        <v>0</v>
      </c>
      <c r="J42" s="13"/>
      <c r="K42" s="12"/>
      <c r="L42" s="30"/>
      <c r="M42" s="17"/>
      <c r="N42" s="12"/>
      <c r="O42" s="33" t="n">
        <v>1</v>
      </c>
      <c r="P42" s="12" t="n">
        <v>1</v>
      </c>
      <c r="Q42" s="12" t="n">
        <v>1</v>
      </c>
      <c r="R42" s="30" t="n">
        <v>1</v>
      </c>
      <c r="S42" s="18"/>
      <c r="T42" s="12"/>
      <c r="U42" s="12"/>
      <c r="V42" s="12"/>
      <c r="W42" s="12"/>
      <c r="X42" s="13"/>
      <c r="Y42" s="12" t="n">
        <f aca="false">COUNT(K42:W42)</f>
        <v>4</v>
      </c>
      <c r="Z42" s="13"/>
      <c r="AE42" s="22" t="n">
        <v>0.833333333333333</v>
      </c>
      <c r="AF42" s="22" t="n">
        <v>0.416666666666667</v>
      </c>
      <c r="AG42" s="22" t="n">
        <v>0</v>
      </c>
      <c r="AH42" s="22" t="n">
        <v>0.583333333333333</v>
      </c>
      <c r="AN42" s="13"/>
      <c r="AO42" s="22"/>
      <c r="AP42" s="22"/>
      <c r="AQ42" s="22" t="n">
        <v>0.833333333333333</v>
      </c>
      <c r="AR42" s="22" t="n">
        <v>0.416666666666667</v>
      </c>
      <c r="AS42" s="22" t="n">
        <v>0</v>
      </c>
      <c r="AT42" s="22" t="n">
        <v>0.583333333333333</v>
      </c>
      <c r="AU42" s="22"/>
      <c r="AV42" s="13"/>
      <c r="AW42" s="22" t="n">
        <v>0.833333333333333</v>
      </c>
      <c r="AX42" s="22" t="n">
        <v>0.833333333333333</v>
      </c>
      <c r="AY42" s="31" t="n">
        <v>0.416666666666667</v>
      </c>
      <c r="AZ42" s="31" t="n">
        <v>0.416666666666667</v>
      </c>
      <c r="BA42" s="22" t="n">
        <v>0</v>
      </c>
      <c r="BB42" s="22" t="n">
        <v>0</v>
      </c>
      <c r="BC42" s="22" t="n">
        <v>0.583333333333333</v>
      </c>
      <c r="BD42" s="13"/>
      <c r="BE42" s="13"/>
      <c r="BF42" s="13"/>
      <c r="BG42" s="28" t="n">
        <f aca="false">B42</f>
        <v>36</v>
      </c>
      <c r="BH42" s="28" t="n">
        <f aca="false">Y42</f>
        <v>4</v>
      </c>
      <c r="BI42" s="28" t="n">
        <f aca="false">D42+0.1</f>
        <v>1.1</v>
      </c>
      <c r="BJ42" s="28" t="n">
        <f aca="false">(E42*2)+0.1</f>
        <v>4.1</v>
      </c>
      <c r="BK42" s="28" t="n">
        <f aca="false">F42+0.1</f>
        <v>0.1</v>
      </c>
      <c r="BL42" s="28" t="n">
        <f aca="false">(G42*2)+0.1</f>
        <v>0.1</v>
      </c>
      <c r="BM42" s="28" t="n">
        <f aca="false">H42+0.1</f>
        <v>0.1</v>
      </c>
      <c r="BN42" s="28" t="n">
        <f aca="false">(I42*2)+0.1</f>
        <v>0.1</v>
      </c>
      <c r="BO42" s="28" t="n">
        <f aca="false">AW42</f>
        <v>0.833333333333333</v>
      </c>
      <c r="BP42" s="28" t="n">
        <f aca="false">AX42</f>
        <v>0.833333333333333</v>
      </c>
      <c r="BQ42" s="28" t="n">
        <f aca="false">AY42</f>
        <v>0.416666666666667</v>
      </c>
      <c r="BR42" s="28" t="n">
        <f aca="false">AZ42</f>
        <v>0.416666666666667</v>
      </c>
      <c r="BS42" s="28" t="n">
        <f aca="false">BA42</f>
        <v>0</v>
      </c>
      <c r="BT42" s="28" t="n">
        <f aca="false">BB42</f>
        <v>0</v>
      </c>
      <c r="BU42" s="28" t="n">
        <f aca="false">BC42</f>
        <v>0.583333333333333</v>
      </c>
    </row>
    <row r="43" customFormat="false" ht="18.3" hidden="false" customHeight="true" outlineLevel="0" collapsed="false">
      <c r="B43" s="12" t="n">
        <v>37</v>
      </c>
      <c r="C43" s="12"/>
      <c r="D43" s="12" t="n">
        <v>1</v>
      </c>
      <c r="E43" s="12" t="n">
        <v>3</v>
      </c>
      <c r="F43" s="12" t="n">
        <v>0</v>
      </c>
      <c r="G43" s="12" t="n">
        <v>0</v>
      </c>
      <c r="H43" s="12" t="n">
        <v>0</v>
      </c>
      <c r="I43" s="12" t="n">
        <v>0</v>
      </c>
      <c r="J43" s="13"/>
      <c r="K43" s="12"/>
      <c r="L43" s="30"/>
      <c r="M43" s="17"/>
      <c r="N43" s="33" t="n">
        <v>1</v>
      </c>
      <c r="O43" s="12" t="n">
        <v>1</v>
      </c>
      <c r="P43" s="12" t="n">
        <v>1</v>
      </c>
      <c r="Q43" s="12" t="n">
        <v>1</v>
      </c>
      <c r="R43" s="30" t="n">
        <v>1</v>
      </c>
      <c r="S43" s="18"/>
      <c r="T43" s="12"/>
      <c r="U43" s="12"/>
      <c r="V43" s="12"/>
      <c r="W43" s="12"/>
      <c r="X43" s="13"/>
      <c r="Y43" s="12" t="n">
        <f aca="false">COUNT(K43:W43)</f>
        <v>5</v>
      </c>
      <c r="Z43" s="13"/>
      <c r="AD43" s="22" t="n">
        <v>0.25</v>
      </c>
      <c r="AE43" s="22" t="n">
        <v>0.833333333333333</v>
      </c>
      <c r="AF43" s="22" t="n">
        <v>0.416666666666667</v>
      </c>
      <c r="AG43" s="22" t="n">
        <v>0</v>
      </c>
      <c r="AH43" s="22" t="n">
        <v>0.583333333333333</v>
      </c>
      <c r="AN43" s="13"/>
      <c r="AO43" s="22"/>
      <c r="AP43" s="22" t="n">
        <v>0.25</v>
      </c>
      <c r="AQ43" s="22" t="n">
        <v>0.833333333333333</v>
      </c>
      <c r="AR43" s="22" t="n">
        <v>0.416666666666667</v>
      </c>
      <c r="AS43" s="22" t="n">
        <v>0</v>
      </c>
      <c r="AT43" s="22" t="n">
        <v>0.583333333333333</v>
      </c>
      <c r="AU43" s="22"/>
      <c r="AV43" s="13"/>
      <c r="AW43" s="22" t="n">
        <v>0.25</v>
      </c>
      <c r="AX43" s="22" t="n">
        <v>0.833333333333333</v>
      </c>
      <c r="AY43" s="22" t="n">
        <v>0.833333333333333</v>
      </c>
      <c r="AZ43" s="31" t="n">
        <v>0.416666666666667</v>
      </c>
      <c r="BA43" s="22" t="n">
        <v>0</v>
      </c>
      <c r="BB43" s="22" t="n">
        <v>0</v>
      </c>
      <c r="BC43" s="22" t="n">
        <v>0.583333333333333</v>
      </c>
      <c r="BD43" s="13"/>
      <c r="BE43" s="13"/>
      <c r="BF43" s="13"/>
      <c r="BG43" s="28" t="n">
        <f aca="false">B43</f>
        <v>37</v>
      </c>
      <c r="BH43" s="28" t="n">
        <f aca="false">Y43</f>
        <v>5</v>
      </c>
      <c r="BI43" s="28" t="n">
        <f aca="false">D43+0.1</f>
        <v>1.1</v>
      </c>
      <c r="BJ43" s="28" t="n">
        <f aca="false">(E43*2)+0.1</f>
        <v>6.1</v>
      </c>
      <c r="BK43" s="28" t="n">
        <f aca="false">F43+0.1</f>
        <v>0.1</v>
      </c>
      <c r="BL43" s="28" t="n">
        <f aca="false">(G43*2)+0.1</f>
        <v>0.1</v>
      </c>
      <c r="BM43" s="28" t="n">
        <f aca="false">H43+0.1</f>
        <v>0.1</v>
      </c>
      <c r="BN43" s="28" t="n">
        <f aca="false">(I43*2)+0.1</f>
        <v>0.1</v>
      </c>
      <c r="BO43" s="28" t="n">
        <f aca="false">AW43</f>
        <v>0.25</v>
      </c>
      <c r="BP43" s="28" t="n">
        <f aca="false">AX43</f>
        <v>0.833333333333333</v>
      </c>
      <c r="BQ43" s="28" t="n">
        <f aca="false">AY43</f>
        <v>0.833333333333333</v>
      </c>
      <c r="BR43" s="28" t="n">
        <f aca="false">AZ43</f>
        <v>0.416666666666667</v>
      </c>
      <c r="BS43" s="28" t="n">
        <f aca="false">BA43</f>
        <v>0</v>
      </c>
      <c r="BT43" s="28" t="n">
        <f aca="false">BB43</f>
        <v>0</v>
      </c>
      <c r="BU43" s="28" t="n">
        <f aca="false">BC43</f>
        <v>0.583333333333333</v>
      </c>
    </row>
    <row r="44" customFormat="false" ht="18.3" hidden="false" customHeight="true" outlineLevel="0" collapsed="false">
      <c r="B44" s="12" t="n">
        <v>38</v>
      </c>
      <c r="C44" s="12"/>
      <c r="D44" s="12" t="n">
        <v>1</v>
      </c>
      <c r="E44" s="12" t="n">
        <v>0</v>
      </c>
      <c r="F44" s="12" t="n">
        <v>0</v>
      </c>
      <c r="G44" s="12" t="n">
        <v>0</v>
      </c>
      <c r="H44" s="12" t="n">
        <v>1</v>
      </c>
      <c r="I44" s="12" t="n">
        <v>0</v>
      </c>
      <c r="J44" s="13"/>
      <c r="K44" s="12"/>
      <c r="L44" s="30"/>
      <c r="M44" s="17"/>
      <c r="N44" s="33" t="n">
        <v>1</v>
      </c>
      <c r="O44" s="12" t="n">
        <v>1</v>
      </c>
      <c r="P44" s="12"/>
      <c r="Q44" s="12" t="n">
        <v>1</v>
      </c>
      <c r="R44" s="30" t="n">
        <v>1</v>
      </c>
      <c r="S44" s="18"/>
      <c r="T44" s="12"/>
      <c r="U44" s="12"/>
      <c r="V44" s="12"/>
      <c r="W44" s="12"/>
      <c r="X44" s="13"/>
      <c r="Y44" s="12" t="n">
        <f aca="false">COUNT(K44:W44)</f>
        <v>4</v>
      </c>
      <c r="Z44" s="13"/>
      <c r="AD44" s="22" t="n">
        <v>0.25</v>
      </c>
      <c r="AE44" s="22" t="n">
        <v>0.833333333333333</v>
      </c>
      <c r="AG44" s="22" t="n">
        <v>0</v>
      </c>
      <c r="AH44" s="22" t="n">
        <v>0.583333333333333</v>
      </c>
      <c r="AN44" s="13"/>
      <c r="AO44" s="22"/>
      <c r="AP44" s="22" t="n">
        <v>0.25</v>
      </c>
      <c r="AQ44" s="22" t="n">
        <v>0.833333333333333</v>
      </c>
      <c r="AR44" s="22"/>
      <c r="AS44" s="22" t="n">
        <v>0</v>
      </c>
      <c r="AT44" s="22" t="n">
        <v>0.583333333333333</v>
      </c>
      <c r="AU44" s="22"/>
      <c r="AV44" s="13"/>
      <c r="AW44" s="22" t="n">
        <v>0.25</v>
      </c>
      <c r="AX44" s="22" t="n">
        <v>0.25</v>
      </c>
      <c r="AY44" s="22" t="n">
        <v>0.833333333333333</v>
      </c>
      <c r="AZ44" s="22" t="n">
        <v>0.833333333333333</v>
      </c>
      <c r="BA44" s="22" t="n">
        <v>0</v>
      </c>
      <c r="BB44" s="22" t="n">
        <v>0</v>
      </c>
      <c r="BC44" s="22" t="n">
        <v>0.583333333333333</v>
      </c>
      <c r="BD44" s="13"/>
      <c r="BE44" s="13"/>
      <c r="BF44" s="13"/>
      <c r="BG44" s="28" t="n">
        <f aca="false">B44</f>
        <v>38</v>
      </c>
      <c r="BH44" s="28" t="n">
        <f aca="false">Y44</f>
        <v>4</v>
      </c>
      <c r="BI44" s="28" t="n">
        <f aca="false">D44+0.1</f>
        <v>1.1</v>
      </c>
      <c r="BJ44" s="28" t="n">
        <f aca="false">(E44*2)+0.1</f>
        <v>0.1</v>
      </c>
      <c r="BK44" s="28" t="n">
        <f aca="false">F44+0.1</f>
        <v>0.1</v>
      </c>
      <c r="BL44" s="28" t="n">
        <f aca="false">(G44*2)+0.1</f>
        <v>0.1</v>
      </c>
      <c r="BM44" s="28" t="n">
        <f aca="false">H44+0.1</f>
        <v>1.1</v>
      </c>
      <c r="BN44" s="28" t="n">
        <f aca="false">(I44*2)+0.1</f>
        <v>0.1</v>
      </c>
      <c r="BO44" s="28" t="n">
        <f aca="false">AW44</f>
        <v>0.25</v>
      </c>
      <c r="BP44" s="28" t="n">
        <f aca="false">AX44</f>
        <v>0.25</v>
      </c>
      <c r="BQ44" s="28" t="n">
        <f aca="false">AY44</f>
        <v>0.833333333333333</v>
      </c>
      <c r="BR44" s="28" t="n">
        <f aca="false">AZ44</f>
        <v>0.833333333333333</v>
      </c>
      <c r="BS44" s="28" t="n">
        <f aca="false">BA44</f>
        <v>0</v>
      </c>
      <c r="BT44" s="28" t="n">
        <f aca="false">BB44</f>
        <v>0</v>
      </c>
      <c r="BU44" s="28" t="n">
        <f aca="false">BC44</f>
        <v>0.583333333333333</v>
      </c>
    </row>
    <row r="45" customFormat="false" ht="18.3" hidden="false" customHeight="true" outlineLevel="0" collapsed="false">
      <c r="B45" s="12" t="n">
        <v>39</v>
      </c>
      <c r="C45" s="12"/>
      <c r="D45" s="12" t="n">
        <v>1</v>
      </c>
      <c r="E45" s="12" t="n">
        <v>4</v>
      </c>
      <c r="F45" s="12" t="n">
        <v>0</v>
      </c>
      <c r="G45" s="12" t="n">
        <v>0</v>
      </c>
      <c r="H45" s="12" t="n">
        <v>0</v>
      </c>
      <c r="I45" s="12" t="n">
        <v>0</v>
      </c>
      <c r="J45" s="13"/>
      <c r="K45" s="12"/>
      <c r="L45" s="30"/>
      <c r="M45" s="29" t="n">
        <v>1</v>
      </c>
      <c r="N45" s="12" t="n">
        <v>1</v>
      </c>
      <c r="O45" s="12" t="n">
        <v>1</v>
      </c>
      <c r="P45" s="12" t="n">
        <v>1</v>
      </c>
      <c r="Q45" s="12" t="n">
        <v>1</v>
      </c>
      <c r="R45" s="30" t="n">
        <v>1</v>
      </c>
      <c r="S45" s="18"/>
      <c r="T45" s="12"/>
      <c r="U45" s="12"/>
      <c r="V45" s="12"/>
      <c r="W45" s="12"/>
      <c r="X45" s="13"/>
      <c r="Y45" s="12" t="n">
        <f aca="false">COUNT(K45:W45)</f>
        <v>6</v>
      </c>
      <c r="Z45" s="13"/>
      <c r="AC45" s="22" t="n">
        <v>0.666666666666667</v>
      </c>
      <c r="AD45" s="22" t="n">
        <v>0.25</v>
      </c>
      <c r="AE45" s="22" t="n">
        <v>0.833333333333333</v>
      </c>
      <c r="AF45" s="22" t="n">
        <v>0.416666666666667</v>
      </c>
      <c r="AG45" s="22" t="n">
        <v>0</v>
      </c>
      <c r="AH45" s="22" t="n">
        <v>1.583</v>
      </c>
      <c r="AN45" s="13"/>
      <c r="AO45" s="22" t="n">
        <v>0.666666666666667</v>
      </c>
      <c r="AP45" s="22" t="n">
        <v>0.25</v>
      </c>
      <c r="AQ45" s="22" t="n">
        <v>0.833333333333333</v>
      </c>
      <c r="AR45" s="22" t="n">
        <v>0.416666666666667</v>
      </c>
      <c r="AS45" s="22" t="n">
        <v>0</v>
      </c>
      <c r="AT45" s="22" t="n">
        <v>1.583</v>
      </c>
      <c r="AU45" s="22"/>
      <c r="AV45" s="13"/>
      <c r="AW45" s="22" t="n">
        <v>0.666666666666667</v>
      </c>
      <c r="AX45" s="22" t="n">
        <v>0.25</v>
      </c>
      <c r="AY45" s="22" t="n">
        <v>0.833333333333333</v>
      </c>
      <c r="AZ45" s="31" t="n">
        <v>0.416666666666667</v>
      </c>
      <c r="BA45" s="22" t="n">
        <v>0</v>
      </c>
      <c r="BB45" s="22" t="n">
        <v>1.583</v>
      </c>
      <c r="BC45" s="22" t="n">
        <v>1.583</v>
      </c>
      <c r="BD45" s="13"/>
      <c r="BE45" s="13"/>
      <c r="BF45" s="13"/>
      <c r="BG45" s="28" t="n">
        <f aca="false">B45</f>
        <v>39</v>
      </c>
      <c r="BH45" s="28" t="n">
        <f aca="false">Y45</f>
        <v>6</v>
      </c>
      <c r="BI45" s="28" t="n">
        <f aca="false">D45+0.1</f>
        <v>1.1</v>
      </c>
      <c r="BJ45" s="28" t="n">
        <f aca="false">(E45*2)+0.1</f>
        <v>8.1</v>
      </c>
      <c r="BK45" s="28" t="n">
        <f aca="false">F45+0.1</f>
        <v>0.1</v>
      </c>
      <c r="BL45" s="28" t="n">
        <f aca="false">(G45*2)+0.1</f>
        <v>0.1</v>
      </c>
      <c r="BM45" s="28" t="n">
        <f aca="false">H45+0.1</f>
        <v>0.1</v>
      </c>
      <c r="BN45" s="28" t="n">
        <f aca="false">(I45*2)+0.1</f>
        <v>0.1</v>
      </c>
      <c r="BO45" s="28" t="n">
        <f aca="false">AW45</f>
        <v>0.666666666666667</v>
      </c>
      <c r="BP45" s="28" t="n">
        <f aca="false">AX45</f>
        <v>0.25</v>
      </c>
      <c r="BQ45" s="28" t="n">
        <f aca="false">AY45</f>
        <v>0.833333333333333</v>
      </c>
      <c r="BR45" s="28" t="n">
        <f aca="false">AZ45</f>
        <v>0.416666666666667</v>
      </c>
      <c r="BS45" s="28" t="n">
        <f aca="false">BA45</f>
        <v>0</v>
      </c>
      <c r="BT45" s="28" t="n">
        <f aca="false">BB45</f>
        <v>1.583</v>
      </c>
      <c r="BU45" s="28" t="n">
        <f aca="false">BC45</f>
        <v>1.583</v>
      </c>
    </row>
    <row r="46" customFormat="false" ht="18.3" hidden="false" customHeight="true" outlineLevel="0" collapsed="false">
      <c r="B46" s="12" t="n">
        <v>40</v>
      </c>
      <c r="C46" s="12"/>
      <c r="D46" s="12" t="n">
        <v>1</v>
      </c>
      <c r="E46" s="12" t="n">
        <v>0</v>
      </c>
      <c r="F46" s="12" t="n">
        <v>0</v>
      </c>
      <c r="G46" s="12" t="n">
        <v>1</v>
      </c>
      <c r="H46" s="12" t="n">
        <v>0</v>
      </c>
      <c r="I46" s="12" t="n">
        <v>0</v>
      </c>
      <c r="J46" s="13"/>
      <c r="K46" s="12"/>
      <c r="L46" s="30"/>
      <c r="M46" s="29" t="n">
        <v>1</v>
      </c>
      <c r="N46" s="12" t="n">
        <v>1</v>
      </c>
      <c r="O46" s="12"/>
      <c r="P46" s="12"/>
      <c r="Q46" s="12" t="n">
        <v>1</v>
      </c>
      <c r="R46" s="30" t="n">
        <v>1</v>
      </c>
      <c r="S46" s="18"/>
      <c r="T46" s="12"/>
      <c r="U46" s="12"/>
      <c r="V46" s="12"/>
      <c r="W46" s="12"/>
      <c r="X46" s="13"/>
      <c r="Y46" s="12" t="n">
        <f aca="false">COUNT(K46:W46)</f>
        <v>4</v>
      </c>
      <c r="Z46" s="13"/>
      <c r="AC46" s="22" t="n">
        <v>0.666666666666667</v>
      </c>
      <c r="AD46" s="22" t="n">
        <v>0.25</v>
      </c>
      <c r="AG46" s="22" t="n">
        <v>0</v>
      </c>
      <c r="AH46" s="22" t="n">
        <v>1.583</v>
      </c>
      <c r="AN46" s="13"/>
      <c r="AO46" s="22" t="n">
        <v>0.666666666666667</v>
      </c>
      <c r="AP46" s="22" t="n">
        <v>0.25</v>
      </c>
      <c r="AQ46" s="22"/>
      <c r="AR46" s="22"/>
      <c r="AS46" s="22" t="n">
        <v>0</v>
      </c>
      <c r="AT46" s="22" t="n">
        <v>1.583</v>
      </c>
      <c r="AU46" s="22"/>
      <c r="AV46" s="13"/>
      <c r="AW46" s="22" t="n">
        <v>0.666666666666667</v>
      </c>
      <c r="AX46" s="22" t="n">
        <v>0.666666666666667</v>
      </c>
      <c r="AY46" s="22" t="n">
        <v>0.25</v>
      </c>
      <c r="AZ46" s="22" t="n">
        <v>0.25</v>
      </c>
      <c r="BA46" s="22" t="n">
        <v>0</v>
      </c>
      <c r="BB46" s="22" t="n">
        <v>0</v>
      </c>
      <c r="BC46" s="22" t="n">
        <v>1.583</v>
      </c>
      <c r="BD46" s="13"/>
      <c r="BE46" s="13"/>
      <c r="BF46" s="13"/>
      <c r="BG46" s="28" t="n">
        <f aca="false">B46</f>
        <v>40</v>
      </c>
      <c r="BH46" s="28" t="n">
        <f aca="false">Y46</f>
        <v>4</v>
      </c>
      <c r="BI46" s="28" t="n">
        <f aca="false">D46+0.1</f>
        <v>1.1</v>
      </c>
      <c r="BJ46" s="28" t="n">
        <f aca="false">(E46*2)+0.1</f>
        <v>0.1</v>
      </c>
      <c r="BK46" s="28" t="n">
        <f aca="false">F46+0.1</f>
        <v>0.1</v>
      </c>
      <c r="BL46" s="28" t="n">
        <f aca="false">(G46*2)+0.1</f>
        <v>2.1</v>
      </c>
      <c r="BM46" s="28" t="n">
        <f aca="false">H46+0.1</f>
        <v>0.1</v>
      </c>
      <c r="BN46" s="28" t="n">
        <f aca="false">(I46*2)+0.1</f>
        <v>0.1</v>
      </c>
      <c r="BO46" s="28" t="n">
        <f aca="false">AW46</f>
        <v>0.666666666666667</v>
      </c>
      <c r="BP46" s="28" t="n">
        <f aca="false">AX46</f>
        <v>0.666666666666667</v>
      </c>
      <c r="BQ46" s="28" t="n">
        <f aca="false">AY46</f>
        <v>0.25</v>
      </c>
      <c r="BR46" s="28" t="n">
        <f aca="false">AZ46</f>
        <v>0.25</v>
      </c>
      <c r="BS46" s="28" t="n">
        <f aca="false">BA46</f>
        <v>0</v>
      </c>
      <c r="BT46" s="28" t="n">
        <f aca="false">BB46</f>
        <v>0</v>
      </c>
      <c r="BU46" s="28" t="n">
        <f aca="false">BC46</f>
        <v>1.583</v>
      </c>
    </row>
    <row r="47" customFormat="false" ht="18.3" hidden="false" customHeight="true" outlineLevel="0" collapsed="false">
      <c r="B47" s="12" t="n">
        <v>41</v>
      </c>
      <c r="C47" s="12"/>
      <c r="D47" s="12" t="n">
        <v>1</v>
      </c>
      <c r="E47" s="12" t="n">
        <v>1</v>
      </c>
      <c r="F47" s="12" t="n">
        <v>0</v>
      </c>
      <c r="G47" s="12" t="n">
        <v>0</v>
      </c>
      <c r="H47" s="12" t="n">
        <v>1</v>
      </c>
      <c r="I47" s="12" t="n">
        <v>0</v>
      </c>
      <c r="J47" s="13"/>
      <c r="K47" s="12"/>
      <c r="L47" s="30"/>
      <c r="M47" s="32" t="n">
        <v>1</v>
      </c>
      <c r="N47" s="20" t="n">
        <v>1</v>
      </c>
      <c r="O47" s="20" t="n">
        <v>1</v>
      </c>
      <c r="P47" s="20" t="n">
        <v>1</v>
      </c>
      <c r="Q47" s="20" t="n">
        <v>1</v>
      </c>
      <c r="R47" s="20" t="n">
        <v>1</v>
      </c>
      <c r="S47" s="21"/>
      <c r="T47" s="12"/>
      <c r="U47" s="12"/>
      <c r="V47" s="12"/>
      <c r="W47" s="12"/>
      <c r="X47" s="13"/>
      <c r="Y47" s="12" t="n">
        <f aca="false">COUNT(K47:W47)</f>
        <v>6</v>
      </c>
      <c r="Z47" s="13"/>
      <c r="AC47" s="22" t="n">
        <v>0.666666666666667</v>
      </c>
      <c r="AD47" s="22" t="n">
        <v>0.25</v>
      </c>
      <c r="AE47" s="22" t="n">
        <v>0.833333333333333</v>
      </c>
      <c r="AF47" s="22" t="n">
        <v>0.416666666666667</v>
      </c>
      <c r="AG47" s="22" t="n">
        <v>0</v>
      </c>
      <c r="AH47" s="22" t="n">
        <v>1.583</v>
      </c>
      <c r="AN47" s="13"/>
      <c r="AO47" s="22" t="n">
        <v>0.666666666666667</v>
      </c>
      <c r="AP47" s="22" t="n">
        <v>0.25</v>
      </c>
      <c r="AQ47" s="22" t="n">
        <v>0.833333333333333</v>
      </c>
      <c r="AR47" s="22" t="n">
        <v>0.416666666666667</v>
      </c>
      <c r="AS47" s="22" t="n">
        <v>0</v>
      </c>
      <c r="AT47" s="22" t="n">
        <v>1.583</v>
      </c>
      <c r="AU47" s="22"/>
      <c r="AV47" s="13"/>
      <c r="AW47" s="22" t="n">
        <v>0.666666666666667</v>
      </c>
      <c r="AX47" s="22" t="n">
        <v>0.25</v>
      </c>
      <c r="AY47" s="22" t="n">
        <v>0.833333333333333</v>
      </c>
      <c r="AZ47" s="31" t="n">
        <v>0.416666666666667</v>
      </c>
      <c r="BA47" s="22" t="n">
        <v>0</v>
      </c>
      <c r="BB47" s="22" t="n">
        <v>0</v>
      </c>
      <c r="BC47" s="22" t="n">
        <v>1.583</v>
      </c>
      <c r="BD47" s="13"/>
      <c r="BE47" s="13"/>
      <c r="BF47" s="13"/>
      <c r="BG47" s="28" t="n">
        <f aca="false">B47</f>
        <v>41</v>
      </c>
      <c r="BH47" s="28" t="n">
        <f aca="false">Y47</f>
        <v>6</v>
      </c>
      <c r="BI47" s="28" t="n">
        <f aca="false">D47+0.1</f>
        <v>1.1</v>
      </c>
      <c r="BJ47" s="28" t="n">
        <f aca="false">(E47*2)+0.1</f>
        <v>2.1</v>
      </c>
      <c r="BK47" s="28" t="n">
        <f aca="false">F47+0.1</f>
        <v>0.1</v>
      </c>
      <c r="BL47" s="28" t="n">
        <f aca="false">(G47*2)+0.1</f>
        <v>0.1</v>
      </c>
      <c r="BM47" s="28" t="n">
        <f aca="false">H47+0.1</f>
        <v>1.1</v>
      </c>
      <c r="BN47" s="28" t="n">
        <f aca="false">(I47*2)+0.1</f>
        <v>0.1</v>
      </c>
      <c r="BO47" s="28" t="n">
        <f aca="false">AW47</f>
        <v>0.666666666666667</v>
      </c>
      <c r="BP47" s="28" t="n">
        <f aca="false">AX47</f>
        <v>0.25</v>
      </c>
      <c r="BQ47" s="28" t="n">
        <f aca="false">AY47</f>
        <v>0.833333333333333</v>
      </c>
      <c r="BR47" s="28" t="n">
        <f aca="false">AZ47</f>
        <v>0.416666666666667</v>
      </c>
      <c r="BS47" s="28" t="n">
        <f aca="false">BA47</f>
        <v>0</v>
      </c>
      <c r="BT47" s="28" t="n">
        <f aca="false">BB47</f>
        <v>0</v>
      </c>
      <c r="BU47" s="28" t="n">
        <f aca="false">BC47</f>
        <v>1.583</v>
      </c>
    </row>
    <row r="48" customFormat="false" ht="18.3" hidden="false" customHeight="true" outlineLevel="0" collapsed="false">
      <c r="B48" s="12" t="n">
        <v>42</v>
      </c>
      <c r="C48" s="12"/>
      <c r="D48" s="12" t="n">
        <v>1</v>
      </c>
      <c r="E48" s="12" t="n">
        <v>5</v>
      </c>
      <c r="F48" s="12" t="n">
        <v>0</v>
      </c>
      <c r="G48" s="12" t="n">
        <v>0</v>
      </c>
      <c r="H48" s="12" t="n">
        <v>0</v>
      </c>
      <c r="I48" s="12" t="n">
        <v>0</v>
      </c>
      <c r="J48" s="13"/>
      <c r="K48" s="12"/>
      <c r="L48" s="27" t="n">
        <v>1</v>
      </c>
      <c r="M48" s="15" t="n">
        <v>1</v>
      </c>
      <c r="N48" s="15" t="n">
        <v>1</v>
      </c>
      <c r="O48" s="15" t="n">
        <v>1</v>
      </c>
      <c r="P48" s="15" t="n">
        <v>1</v>
      </c>
      <c r="Q48" s="15" t="n">
        <v>1</v>
      </c>
      <c r="R48" s="16" t="n">
        <v>1</v>
      </c>
      <c r="S48" s="12"/>
      <c r="T48" s="12"/>
      <c r="U48" s="12"/>
      <c r="V48" s="12"/>
      <c r="W48" s="12"/>
      <c r="X48" s="13"/>
      <c r="Y48" s="12" t="n">
        <f aca="false">COUNT(K48:W48)</f>
        <v>7</v>
      </c>
      <c r="Z48" s="13"/>
      <c r="AB48" s="22" t="n">
        <v>0.0833333333333333</v>
      </c>
      <c r="AC48" s="22" t="n">
        <v>0.666666666666667</v>
      </c>
      <c r="AD48" s="22" t="n">
        <v>0.25</v>
      </c>
      <c r="AE48" s="22" t="n">
        <v>0.833333333333333</v>
      </c>
      <c r="AF48" s="22" t="n">
        <v>0.416666666666667</v>
      </c>
      <c r="AG48" s="22" t="n">
        <v>1</v>
      </c>
      <c r="AH48" s="22" t="n">
        <v>1.583</v>
      </c>
      <c r="AN48" s="13"/>
      <c r="AO48" s="22" t="n">
        <v>0.0833333333333333</v>
      </c>
      <c r="AP48" s="22" t="n">
        <v>0.666666666666667</v>
      </c>
      <c r="AQ48" s="22" t="n">
        <v>0.25</v>
      </c>
      <c r="AR48" s="22" t="n">
        <v>0.833333333333333</v>
      </c>
      <c r="AS48" s="22" t="n">
        <v>0.416666666666667</v>
      </c>
      <c r="AT48" s="22" t="n">
        <v>1</v>
      </c>
      <c r="AU48" s="22" t="n">
        <v>1.583</v>
      </c>
      <c r="AV48" s="13"/>
      <c r="AW48" s="22" t="n">
        <v>0.0833333333333333</v>
      </c>
      <c r="AX48" s="22" t="n">
        <v>0.666666666666667</v>
      </c>
      <c r="AY48" s="22" t="n">
        <v>0.25</v>
      </c>
      <c r="AZ48" s="31" t="n">
        <v>0.833333333333333</v>
      </c>
      <c r="BA48" s="22" t="n">
        <v>0.416666666666667</v>
      </c>
      <c r="BB48" s="22" t="n">
        <v>1</v>
      </c>
      <c r="BC48" s="22" t="n">
        <v>1.583</v>
      </c>
      <c r="BD48" s="13"/>
      <c r="BE48" s="13"/>
      <c r="BF48" s="13"/>
      <c r="BG48" s="28" t="n">
        <f aca="false">B48</f>
        <v>42</v>
      </c>
      <c r="BH48" s="28" t="n">
        <f aca="false">Y48</f>
        <v>7</v>
      </c>
      <c r="BI48" s="28" t="n">
        <f aca="false">D48+0.1</f>
        <v>1.1</v>
      </c>
      <c r="BJ48" s="28" t="n">
        <f aca="false">(E48*2)+0.1</f>
        <v>10.1</v>
      </c>
      <c r="BK48" s="28" t="n">
        <f aca="false">F48+0.1</f>
        <v>0.1</v>
      </c>
      <c r="BL48" s="28" t="n">
        <f aca="false">(G48*2)+0.1</f>
        <v>0.1</v>
      </c>
      <c r="BM48" s="28" t="n">
        <f aca="false">H48+0.1</f>
        <v>0.1</v>
      </c>
      <c r="BN48" s="28" t="n">
        <f aca="false">(I48*2)+0.1</f>
        <v>0.1</v>
      </c>
      <c r="BO48" s="28" t="n">
        <f aca="false">AW48</f>
        <v>0.0833333333333333</v>
      </c>
      <c r="BP48" s="28" t="n">
        <f aca="false">AX48</f>
        <v>0.666666666666667</v>
      </c>
      <c r="BQ48" s="28" t="n">
        <f aca="false">AY48</f>
        <v>0.25</v>
      </c>
      <c r="BR48" s="28" t="n">
        <f aca="false">AZ48</f>
        <v>0.833333333333333</v>
      </c>
      <c r="BS48" s="28" t="n">
        <f aca="false">BA48</f>
        <v>0.416666666666667</v>
      </c>
      <c r="BT48" s="28" t="n">
        <f aca="false">BB48</f>
        <v>1</v>
      </c>
      <c r="BU48" s="28" t="n">
        <f aca="false">BC48</f>
        <v>1.583</v>
      </c>
    </row>
    <row r="49" customFormat="false" ht="18.3" hidden="false" customHeight="true" outlineLevel="0" collapsed="false">
      <c r="B49" s="12" t="n">
        <v>43</v>
      </c>
      <c r="C49" s="12"/>
      <c r="D49" s="12" t="n">
        <v>1</v>
      </c>
      <c r="E49" s="12" t="n">
        <v>1</v>
      </c>
      <c r="F49" s="12" t="n">
        <v>0</v>
      </c>
      <c r="G49" s="12" t="n">
        <v>1</v>
      </c>
      <c r="H49" s="12" t="n">
        <v>0</v>
      </c>
      <c r="I49" s="12" t="n">
        <v>0</v>
      </c>
      <c r="J49" s="13"/>
      <c r="K49" s="12"/>
      <c r="L49" s="29" t="n">
        <v>1</v>
      </c>
      <c r="M49" s="12" t="n">
        <v>1</v>
      </c>
      <c r="N49" s="12" t="n">
        <v>1</v>
      </c>
      <c r="O49" s="12"/>
      <c r="P49" s="12" t="n">
        <v>1</v>
      </c>
      <c r="Q49" s="12" t="n">
        <v>1</v>
      </c>
      <c r="R49" s="18" t="n">
        <v>1</v>
      </c>
      <c r="S49" s="12"/>
      <c r="T49" s="12"/>
      <c r="U49" s="12"/>
      <c r="V49" s="12"/>
      <c r="W49" s="12"/>
      <c r="X49" s="13"/>
      <c r="Y49" s="12" t="n">
        <f aca="false">COUNT(K49:W49)</f>
        <v>6</v>
      </c>
      <c r="Z49" s="13"/>
      <c r="AB49" s="22" t="n">
        <v>0.0833333333333333</v>
      </c>
      <c r="AC49" s="22" t="n">
        <v>0.666666666666667</v>
      </c>
      <c r="AD49" s="22" t="n">
        <v>0.25</v>
      </c>
      <c r="AF49" s="22" t="n">
        <v>0.416666666666667</v>
      </c>
      <c r="AG49" s="22" t="n">
        <v>1</v>
      </c>
      <c r="AH49" s="22" t="n">
        <v>1.583</v>
      </c>
      <c r="AN49" s="13"/>
      <c r="AO49" s="22" t="n">
        <v>0.0833333333333333</v>
      </c>
      <c r="AP49" s="22" t="n">
        <v>0.666666666666667</v>
      </c>
      <c r="AQ49" s="22" t="n">
        <v>0.25</v>
      </c>
      <c r="AR49" s="22"/>
      <c r="AS49" s="22" t="n">
        <v>0.416666666666667</v>
      </c>
      <c r="AT49" s="22" t="n">
        <v>1</v>
      </c>
      <c r="AU49" s="22" t="n">
        <v>1.583</v>
      </c>
      <c r="AV49" s="13"/>
      <c r="AW49" s="22" t="n">
        <v>0.0833333333333333</v>
      </c>
      <c r="AX49" s="22" t="n">
        <v>0.666666666666667</v>
      </c>
      <c r="AY49" s="22" t="n">
        <v>0.25</v>
      </c>
      <c r="AZ49" s="22" t="n">
        <v>0.416666666666667</v>
      </c>
      <c r="BA49" s="22" t="n">
        <v>0.416666666666667</v>
      </c>
      <c r="BB49" s="22" t="n">
        <v>1</v>
      </c>
      <c r="BC49" s="22" t="n">
        <v>1.583</v>
      </c>
      <c r="BD49" s="13"/>
      <c r="BE49" s="13"/>
      <c r="BF49" s="13"/>
      <c r="BG49" s="28" t="n">
        <f aca="false">B49</f>
        <v>43</v>
      </c>
      <c r="BH49" s="28" t="n">
        <f aca="false">Y49</f>
        <v>6</v>
      </c>
      <c r="BI49" s="28" t="n">
        <f aca="false">D49+0.1</f>
        <v>1.1</v>
      </c>
      <c r="BJ49" s="28" t="n">
        <f aca="false">(E49*2)+0.1</f>
        <v>2.1</v>
      </c>
      <c r="BK49" s="28" t="n">
        <f aca="false">F49+0.1</f>
        <v>0.1</v>
      </c>
      <c r="BL49" s="28" t="n">
        <f aca="false">(G49*2)+0.1</f>
        <v>2.1</v>
      </c>
      <c r="BM49" s="28" t="n">
        <f aca="false">H49+0.1</f>
        <v>0.1</v>
      </c>
      <c r="BN49" s="28" t="n">
        <f aca="false">(I49*2)+0.1</f>
        <v>0.1</v>
      </c>
      <c r="BO49" s="28" t="n">
        <f aca="false">AW49</f>
        <v>0.0833333333333333</v>
      </c>
      <c r="BP49" s="28" t="n">
        <f aca="false">AX49</f>
        <v>0.666666666666667</v>
      </c>
      <c r="BQ49" s="28" t="n">
        <f aca="false">AY49</f>
        <v>0.25</v>
      </c>
      <c r="BR49" s="28" t="n">
        <f aca="false">AZ49</f>
        <v>0.416666666666667</v>
      </c>
      <c r="BS49" s="28" t="n">
        <f aca="false">BA49</f>
        <v>0.416666666666667</v>
      </c>
      <c r="BT49" s="28" t="n">
        <f aca="false">BB49</f>
        <v>1</v>
      </c>
      <c r="BU49" s="28" t="n">
        <f aca="false">BC49</f>
        <v>1.583</v>
      </c>
    </row>
    <row r="50" customFormat="false" ht="18.3" hidden="false" customHeight="true" outlineLevel="0" collapsed="false">
      <c r="B50" s="12" t="n">
        <v>44</v>
      </c>
      <c r="C50" s="12"/>
      <c r="D50" s="12" t="n">
        <v>1</v>
      </c>
      <c r="E50" s="12" t="n">
        <v>2</v>
      </c>
      <c r="F50" s="12" t="n">
        <v>0</v>
      </c>
      <c r="G50" s="12" t="n">
        <v>0</v>
      </c>
      <c r="H50" s="12" t="n">
        <v>1</v>
      </c>
      <c r="I50" s="12" t="n">
        <v>0</v>
      </c>
      <c r="J50" s="13"/>
      <c r="K50" s="12"/>
      <c r="L50" s="29" t="n">
        <v>1</v>
      </c>
      <c r="M50" s="30" t="n">
        <v>1</v>
      </c>
      <c r="N50" s="30" t="n">
        <v>1</v>
      </c>
      <c r="O50" s="30" t="n">
        <v>1</v>
      </c>
      <c r="P50" s="30" t="n">
        <v>1</v>
      </c>
      <c r="Q50" s="30" t="n">
        <v>1</v>
      </c>
      <c r="R50" s="18" t="n">
        <v>1</v>
      </c>
      <c r="S50" s="12"/>
      <c r="T50" s="12"/>
      <c r="U50" s="12"/>
      <c r="V50" s="12"/>
      <c r="W50" s="12"/>
      <c r="X50" s="13"/>
      <c r="Y50" s="12" t="n">
        <f aca="false">COUNT(K50:W50)</f>
        <v>7</v>
      </c>
      <c r="Z50" s="13"/>
      <c r="AB50" s="22" t="n">
        <v>0.0833333333333333</v>
      </c>
      <c r="AC50" s="22" t="n">
        <v>0.666666666666667</v>
      </c>
      <c r="AD50" s="22" t="n">
        <v>0.25</v>
      </c>
      <c r="AE50" s="22" t="n">
        <v>0.833333333333333</v>
      </c>
      <c r="AF50" s="22" t="n">
        <v>0.416666666666667</v>
      </c>
      <c r="AG50" s="22" t="n">
        <v>1</v>
      </c>
      <c r="AH50" s="22" t="n">
        <v>1.583</v>
      </c>
      <c r="AN50" s="13"/>
      <c r="AO50" s="22" t="n">
        <v>0.0833333333333333</v>
      </c>
      <c r="AP50" s="22" t="n">
        <v>0.666666666666667</v>
      </c>
      <c r="AQ50" s="22" t="n">
        <v>0.25</v>
      </c>
      <c r="AR50" s="22" t="n">
        <v>0.833333333333333</v>
      </c>
      <c r="AS50" s="22" t="n">
        <v>0.416666666666667</v>
      </c>
      <c r="AT50" s="22" t="n">
        <v>1</v>
      </c>
      <c r="AU50" s="22" t="n">
        <v>1.583</v>
      </c>
      <c r="AV50" s="13"/>
      <c r="AW50" s="22" t="n">
        <v>0.0833333333333333</v>
      </c>
      <c r="AX50" s="22" t="n">
        <v>0.666666666666667</v>
      </c>
      <c r="AY50" s="22" t="n">
        <v>0.25</v>
      </c>
      <c r="AZ50" s="31" t="n">
        <v>0.833333333333333</v>
      </c>
      <c r="BA50" s="22" t="n">
        <v>0.416666666666667</v>
      </c>
      <c r="BB50" s="22" t="n">
        <v>1</v>
      </c>
      <c r="BC50" s="22" t="n">
        <v>1.583</v>
      </c>
      <c r="BD50" s="13"/>
      <c r="BE50" s="13"/>
      <c r="BF50" s="13"/>
      <c r="BG50" s="28" t="n">
        <f aca="false">B50</f>
        <v>44</v>
      </c>
      <c r="BH50" s="28" t="n">
        <f aca="false">Y50</f>
        <v>7</v>
      </c>
      <c r="BI50" s="28" t="n">
        <f aca="false">D50+0.1</f>
        <v>1.1</v>
      </c>
      <c r="BJ50" s="28" t="n">
        <f aca="false">(E50*2)+0.1</f>
        <v>4.1</v>
      </c>
      <c r="BK50" s="28" t="n">
        <f aca="false">F50+0.1</f>
        <v>0.1</v>
      </c>
      <c r="BL50" s="28" t="n">
        <f aca="false">(G50*2)+0.1</f>
        <v>0.1</v>
      </c>
      <c r="BM50" s="28" t="n">
        <f aca="false">H50+0.1</f>
        <v>1.1</v>
      </c>
      <c r="BN50" s="28" t="n">
        <f aca="false">(I50*2)+0.1</f>
        <v>0.1</v>
      </c>
      <c r="BO50" s="28" t="n">
        <f aca="false">AW50</f>
        <v>0.0833333333333333</v>
      </c>
      <c r="BP50" s="28" t="n">
        <f aca="false">AX50</f>
        <v>0.666666666666667</v>
      </c>
      <c r="BQ50" s="28" t="n">
        <f aca="false">AY50</f>
        <v>0.25</v>
      </c>
      <c r="BR50" s="28" t="n">
        <f aca="false">AZ50</f>
        <v>0.833333333333333</v>
      </c>
      <c r="BS50" s="28" t="n">
        <f aca="false">BA50</f>
        <v>0.416666666666667</v>
      </c>
      <c r="BT50" s="28" t="n">
        <f aca="false">BB50</f>
        <v>1</v>
      </c>
      <c r="BU50" s="28" t="n">
        <f aca="false">BC50</f>
        <v>1.583</v>
      </c>
    </row>
    <row r="51" customFormat="false" ht="18.3" hidden="false" customHeight="true" outlineLevel="0" collapsed="false">
      <c r="B51" s="12" t="n">
        <v>45</v>
      </c>
      <c r="C51" s="12"/>
      <c r="D51" s="12" t="n">
        <v>0</v>
      </c>
      <c r="E51" s="12" t="n">
        <v>1</v>
      </c>
      <c r="F51" s="12" t="n">
        <v>0</v>
      </c>
      <c r="G51" s="12" t="n">
        <v>0</v>
      </c>
      <c r="H51" s="12" t="n">
        <v>0</v>
      </c>
      <c r="I51" s="12" t="n">
        <v>0</v>
      </c>
      <c r="J51" s="13"/>
      <c r="K51" s="30"/>
      <c r="L51" s="17"/>
      <c r="M51" s="30"/>
      <c r="N51" s="30"/>
      <c r="O51" s="30"/>
      <c r="P51" s="34" t="n">
        <v>1</v>
      </c>
      <c r="Q51" s="30" t="n">
        <v>1</v>
      </c>
      <c r="R51" s="18"/>
      <c r="S51" s="12"/>
      <c r="T51" s="12"/>
      <c r="U51" s="12"/>
      <c r="V51" s="12"/>
      <c r="W51" s="12"/>
      <c r="X51" s="13"/>
      <c r="Y51" s="12" t="n">
        <f aca="false">COUNT(K51:W51)</f>
        <v>2</v>
      </c>
      <c r="Z51" s="13"/>
      <c r="AF51" s="22" t="n">
        <v>0.416666666666667</v>
      </c>
      <c r="AG51" s="22" t="n">
        <v>0</v>
      </c>
      <c r="AN51" s="13"/>
      <c r="AO51" s="22"/>
      <c r="AP51" s="22"/>
      <c r="AQ51" s="22"/>
      <c r="AR51" s="22"/>
      <c r="AS51" s="22" t="n">
        <v>0.416666666666667</v>
      </c>
      <c r="AT51" s="22" t="n">
        <v>0</v>
      </c>
      <c r="AU51" s="22"/>
      <c r="AV51" s="13"/>
      <c r="AW51" s="22" t="n">
        <v>0.416666666666667</v>
      </c>
      <c r="AX51" s="22" t="n">
        <v>0.416666666666667</v>
      </c>
      <c r="AY51" s="22" t="n">
        <v>0.416666666666667</v>
      </c>
      <c r="AZ51" s="22" t="n">
        <v>0.416666666666667</v>
      </c>
      <c r="BA51" s="22" t="n">
        <v>0</v>
      </c>
      <c r="BB51" s="22" t="n">
        <v>0</v>
      </c>
      <c r="BC51" s="22" t="n">
        <v>0</v>
      </c>
      <c r="BD51" s="13"/>
      <c r="BE51" s="13"/>
      <c r="BF51" s="13"/>
      <c r="BG51" s="28" t="n">
        <f aca="false">B51</f>
        <v>45</v>
      </c>
      <c r="BH51" s="28" t="n">
        <f aca="false">Y51</f>
        <v>2</v>
      </c>
      <c r="BI51" s="28" t="n">
        <f aca="false">D51+0.1</f>
        <v>0.1</v>
      </c>
      <c r="BJ51" s="28" t="n">
        <f aca="false">(E51*2)+0.1</f>
        <v>2.1</v>
      </c>
      <c r="BK51" s="28" t="n">
        <f aca="false">F51+0.1</f>
        <v>0.1</v>
      </c>
      <c r="BL51" s="28" t="n">
        <f aca="false">(G51*2)+0.1</f>
        <v>0.1</v>
      </c>
      <c r="BM51" s="28" t="n">
        <f aca="false">H51+0.1</f>
        <v>0.1</v>
      </c>
      <c r="BN51" s="28" t="n">
        <f aca="false">(I51*2)+0.1</f>
        <v>0.1</v>
      </c>
      <c r="BO51" s="28" t="n">
        <f aca="false">AW51</f>
        <v>0.416666666666667</v>
      </c>
      <c r="BP51" s="28" t="n">
        <f aca="false">AX51</f>
        <v>0.416666666666667</v>
      </c>
      <c r="BQ51" s="28" t="n">
        <f aca="false">AY51</f>
        <v>0.416666666666667</v>
      </c>
      <c r="BR51" s="28" t="n">
        <f aca="false">AZ51</f>
        <v>0.416666666666667</v>
      </c>
      <c r="BS51" s="28" t="n">
        <f aca="false">BA51</f>
        <v>0</v>
      </c>
      <c r="BT51" s="28" t="n">
        <f aca="false">BB51</f>
        <v>0</v>
      </c>
      <c r="BU51" s="28" t="n">
        <f aca="false">BC51</f>
        <v>0</v>
      </c>
    </row>
    <row r="52" customFormat="false" ht="18.3" hidden="false" customHeight="true" outlineLevel="0" collapsed="false">
      <c r="B52" s="12" t="n">
        <v>46</v>
      </c>
      <c r="C52" s="12"/>
      <c r="D52" s="12" t="n">
        <v>0</v>
      </c>
      <c r="E52" s="12" t="n">
        <v>2</v>
      </c>
      <c r="F52" s="12" t="n">
        <v>0</v>
      </c>
      <c r="G52" s="12" t="n">
        <v>0</v>
      </c>
      <c r="H52" s="12" t="n">
        <v>0</v>
      </c>
      <c r="I52" s="12" t="n">
        <v>0</v>
      </c>
      <c r="J52" s="13"/>
      <c r="K52" s="30"/>
      <c r="L52" s="17"/>
      <c r="M52" s="12"/>
      <c r="N52" s="12"/>
      <c r="O52" s="33" t="n">
        <v>1</v>
      </c>
      <c r="P52" s="12" t="n">
        <v>1</v>
      </c>
      <c r="Q52" s="30" t="n">
        <v>1</v>
      </c>
      <c r="R52" s="18"/>
      <c r="S52" s="12"/>
      <c r="T52" s="12"/>
      <c r="U52" s="12"/>
      <c r="V52" s="12"/>
      <c r="W52" s="12"/>
      <c r="X52" s="13"/>
      <c r="Y52" s="12" t="n">
        <f aca="false">COUNT(K52:W52)</f>
        <v>3</v>
      </c>
      <c r="Z52" s="13"/>
      <c r="AE52" s="22" t="n">
        <v>0.833333333333333</v>
      </c>
      <c r="AF52" s="22" t="n">
        <v>0.416666666666667</v>
      </c>
      <c r="AG52" s="22" t="n">
        <v>0</v>
      </c>
      <c r="AN52" s="13"/>
      <c r="AO52" s="22"/>
      <c r="AP52" s="22"/>
      <c r="AQ52" s="22"/>
      <c r="AR52" s="22" t="n">
        <v>0.833333333333333</v>
      </c>
      <c r="AS52" s="22" t="n">
        <v>0.416666666666667</v>
      </c>
      <c r="AT52" s="22" t="n">
        <v>0</v>
      </c>
      <c r="AU52" s="22"/>
      <c r="AV52" s="13"/>
      <c r="AW52" s="22" t="n">
        <v>0.833333333333333</v>
      </c>
      <c r="AX52" s="22" t="n">
        <v>0.833333333333333</v>
      </c>
      <c r="AY52" s="22" t="n">
        <v>0.416666666666667</v>
      </c>
      <c r="AZ52" s="22" t="n">
        <v>0.416666666666667</v>
      </c>
      <c r="BA52" s="22" t="n">
        <v>0.416666666666667</v>
      </c>
      <c r="BB52" s="22" t="n">
        <v>0</v>
      </c>
      <c r="BC52" s="22" t="n">
        <v>0</v>
      </c>
      <c r="BD52" s="13"/>
      <c r="BE52" s="13"/>
      <c r="BF52" s="13"/>
      <c r="BG52" s="28" t="n">
        <f aca="false">B52</f>
        <v>46</v>
      </c>
      <c r="BH52" s="28" t="n">
        <f aca="false">Y52</f>
        <v>3</v>
      </c>
      <c r="BI52" s="28" t="n">
        <f aca="false">D52+0.1</f>
        <v>0.1</v>
      </c>
      <c r="BJ52" s="28" t="n">
        <f aca="false">(E52*2)+0.1</f>
        <v>4.1</v>
      </c>
      <c r="BK52" s="28" t="n">
        <f aca="false">F52+0.1</f>
        <v>0.1</v>
      </c>
      <c r="BL52" s="28" t="n">
        <f aca="false">(G52*2)+0.1</f>
        <v>0.1</v>
      </c>
      <c r="BM52" s="28" t="n">
        <f aca="false">H52+0.1</f>
        <v>0.1</v>
      </c>
      <c r="BN52" s="28" t="n">
        <f aca="false">(I52*2)+0.1</f>
        <v>0.1</v>
      </c>
      <c r="BO52" s="28" t="n">
        <f aca="false">AW52</f>
        <v>0.833333333333333</v>
      </c>
      <c r="BP52" s="28" t="n">
        <f aca="false">AX52</f>
        <v>0.833333333333333</v>
      </c>
      <c r="BQ52" s="28" t="n">
        <f aca="false">AY52</f>
        <v>0.416666666666667</v>
      </c>
      <c r="BR52" s="28" t="n">
        <f aca="false">AZ52</f>
        <v>0.416666666666667</v>
      </c>
      <c r="BS52" s="28" t="n">
        <f aca="false">BA52</f>
        <v>0.416666666666667</v>
      </c>
      <c r="BT52" s="28" t="n">
        <f aca="false">BB52</f>
        <v>0</v>
      </c>
      <c r="BU52" s="28" t="n">
        <f aca="false">BC52</f>
        <v>0</v>
      </c>
    </row>
    <row r="53" customFormat="false" ht="18.3" hidden="false" customHeight="true" outlineLevel="0" collapsed="false">
      <c r="B53" s="12" t="n">
        <v>47</v>
      </c>
      <c r="C53" s="12"/>
      <c r="D53" s="12" t="n">
        <v>0</v>
      </c>
      <c r="E53" s="12" t="n">
        <v>3</v>
      </c>
      <c r="F53" s="12" t="n">
        <v>0</v>
      </c>
      <c r="G53" s="12" t="n">
        <v>0</v>
      </c>
      <c r="H53" s="12" t="n">
        <v>0</v>
      </c>
      <c r="I53" s="12" t="n">
        <v>0</v>
      </c>
      <c r="J53" s="13"/>
      <c r="K53" s="30"/>
      <c r="L53" s="17"/>
      <c r="M53" s="12"/>
      <c r="N53" s="33" t="n">
        <v>1</v>
      </c>
      <c r="O53" s="12" t="n">
        <v>1</v>
      </c>
      <c r="P53" s="12" t="n">
        <v>1</v>
      </c>
      <c r="Q53" s="30" t="n">
        <v>1</v>
      </c>
      <c r="R53" s="18"/>
      <c r="S53" s="12"/>
      <c r="T53" s="12"/>
      <c r="U53" s="12"/>
      <c r="V53" s="12"/>
      <c r="W53" s="12"/>
      <c r="X53" s="13"/>
      <c r="Y53" s="12" t="n">
        <f aca="false">COUNT(K53:W53)</f>
        <v>4</v>
      </c>
      <c r="Z53" s="13"/>
      <c r="AD53" s="22" t="n">
        <v>0.25</v>
      </c>
      <c r="AE53" s="22" t="n">
        <v>0.833333333333333</v>
      </c>
      <c r="AF53" s="22" t="n">
        <v>0.416666666666667</v>
      </c>
      <c r="AG53" s="22" t="n">
        <v>0</v>
      </c>
      <c r="AN53" s="13"/>
      <c r="AO53" s="22"/>
      <c r="AP53" s="22"/>
      <c r="AQ53" s="22" t="n">
        <v>0.25</v>
      </c>
      <c r="AR53" s="22" t="n">
        <v>0.833333333333333</v>
      </c>
      <c r="AS53" s="22" t="n">
        <v>0.416666666666667</v>
      </c>
      <c r="AT53" s="22" t="n">
        <v>0</v>
      </c>
      <c r="AU53" s="22"/>
      <c r="AV53" s="13"/>
      <c r="AW53" s="22" t="n">
        <v>0.25</v>
      </c>
      <c r="AX53" s="22" t="n">
        <v>0.25</v>
      </c>
      <c r="AY53" s="31" t="n">
        <v>0.833333333333333</v>
      </c>
      <c r="AZ53" s="31" t="n">
        <v>0.833333333333333</v>
      </c>
      <c r="BA53" s="22" t="n">
        <v>0.416666666666667</v>
      </c>
      <c r="BB53" s="22" t="n">
        <v>0.416666666666667</v>
      </c>
      <c r="BC53" s="22" t="n">
        <v>0</v>
      </c>
      <c r="BD53" s="13"/>
      <c r="BE53" s="13"/>
      <c r="BF53" s="13"/>
      <c r="BG53" s="28" t="n">
        <f aca="false">B53</f>
        <v>47</v>
      </c>
      <c r="BH53" s="28" t="n">
        <f aca="false">Y53</f>
        <v>4</v>
      </c>
      <c r="BI53" s="28" t="n">
        <f aca="false">D53+0.1</f>
        <v>0.1</v>
      </c>
      <c r="BJ53" s="28" t="n">
        <f aca="false">(E53*2)+0.1</f>
        <v>6.1</v>
      </c>
      <c r="BK53" s="28" t="n">
        <f aca="false">F53+0.1</f>
        <v>0.1</v>
      </c>
      <c r="BL53" s="28" t="n">
        <f aca="false">(G53*2)+0.1</f>
        <v>0.1</v>
      </c>
      <c r="BM53" s="28" t="n">
        <f aca="false">H53+0.1</f>
        <v>0.1</v>
      </c>
      <c r="BN53" s="28" t="n">
        <f aca="false">(I53*2)+0.1</f>
        <v>0.1</v>
      </c>
      <c r="BO53" s="28" t="n">
        <f aca="false">AW53</f>
        <v>0.25</v>
      </c>
      <c r="BP53" s="28" t="n">
        <f aca="false">AX53</f>
        <v>0.25</v>
      </c>
      <c r="BQ53" s="28" t="n">
        <f aca="false">AY53</f>
        <v>0.833333333333333</v>
      </c>
      <c r="BR53" s="28" t="n">
        <f aca="false">AZ53</f>
        <v>0.833333333333333</v>
      </c>
      <c r="BS53" s="28" t="n">
        <f aca="false">BA53</f>
        <v>0.416666666666667</v>
      </c>
      <c r="BT53" s="28" t="n">
        <f aca="false">BB53</f>
        <v>0.416666666666667</v>
      </c>
      <c r="BU53" s="28" t="n">
        <f aca="false">BC53</f>
        <v>0</v>
      </c>
    </row>
    <row r="54" customFormat="false" ht="18.3" hidden="false" customHeight="true" outlineLevel="0" collapsed="false">
      <c r="B54" s="12" t="n">
        <v>48</v>
      </c>
      <c r="C54" s="12"/>
      <c r="D54" s="12" t="n">
        <v>0</v>
      </c>
      <c r="E54" s="12" t="n">
        <v>4</v>
      </c>
      <c r="F54" s="12" t="n">
        <v>0</v>
      </c>
      <c r="G54" s="12" t="n">
        <v>0</v>
      </c>
      <c r="H54" s="12" t="n">
        <v>0</v>
      </c>
      <c r="I54" s="12" t="n">
        <v>0</v>
      </c>
      <c r="J54" s="13"/>
      <c r="K54" s="30"/>
      <c r="L54" s="17"/>
      <c r="M54" s="33" t="n">
        <v>1</v>
      </c>
      <c r="N54" s="12" t="n">
        <v>1</v>
      </c>
      <c r="O54" s="12" t="n">
        <v>1</v>
      </c>
      <c r="P54" s="12" t="n">
        <v>1</v>
      </c>
      <c r="Q54" s="30" t="n">
        <v>1</v>
      </c>
      <c r="R54" s="18"/>
      <c r="S54" s="12"/>
      <c r="T54" s="12"/>
      <c r="U54" s="12"/>
      <c r="V54" s="12"/>
      <c r="W54" s="12"/>
      <c r="X54" s="13"/>
      <c r="Y54" s="12" t="n">
        <f aca="false">COUNT(K54:W54)</f>
        <v>5</v>
      </c>
      <c r="Z54" s="13"/>
      <c r="AC54" s="22" t="n">
        <v>0.666666666666667</v>
      </c>
      <c r="AD54" s="22" t="n">
        <v>0.25</v>
      </c>
      <c r="AE54" s="22" t="n">
        <v>0.833333333333333</v>
      </c>
      <c r="AF54" s="22" t="n">
        <v>0.416666666666667</v>
      </c>
      <c r="AG54" s="22" t="n">
        <v>0</v>
      </c>
      <c r="AN54" s="13"/>
      <c r="AO54" s="22"/>
      <c r="AP54" s="22" t="n">
        <v>0.666666666666667</v>
      </c>
      <c r="AQ54" s="22" t="n">
        <v>0.25</v>
      </c>
      <c r="AR54" s="22" t="n">
        <v>0.833333333333333</v>
      </c>
      <c r="AS54" s="22" t="n">
        <v>0.416666666666667</v>
      </c>
      <c r="AT54" s="22" t="n">
        <v>0</v>
      </c>
      <c r="AU54" s="22"/>
      <c r="AV54" s="13"/>
      <c r="AW54" s="22" t="n">
        <v>0.666666666666667</v>
      </c>
      <c r="AX54" s="22" t="n">
        <v>0.25</v>
      </c>
      <c r="AY54" s="22" t="n">
        <v>0.25</v>
      </c>
      <c r="AZ54" s="31" t="n">
        <v>0.833333333333333</v>
      </c>
      <c r="BA54" s="22" t="n">
        <v>0.416666666666667</v>
      </c>
      <c r="BB54" s="22" t="n">
        <v>0.416666666666667</v>
      </c>
      <c r="BC54" s="22" t="n">
        <v>0</v>
      </c>
      <c r="BD54" s="13"/>
      <c r="BE54" s="13"/>
      <c r="BF54" s="13"/>
      <c r="BG54" s="28" t="n">
        <f aca="false">B54</f>
        <v>48</v>
      </c>
      <c r="BH54" s="28" t="n">
        <f aca="false">Y54</f>
        <v>5</v>
      </c>
      <c r="BI54" s="28" t="n">
        <f aca="false">D54+0.1</f>
        <v>0.1</v>
      </c>
      <c r="BJ54" s="28" t="n">
        <f aca="false">(E54*2)+0.1</f>
        <v>8.1</v>
      </c>
      <c r="BK54" s="28" t="n">
        <f aca="false">F54+0.1</f>
        <v>0.1</v>
      </c>
      <c r="BL54" s="28" t="n">
        <f aca="false">(G54*2)+0.1</f>
        <v>0.1</v>
      </c>
      <c r="BM54" s="28" t="n">
        <f aca="false">H54+0.1</f>
        <v>0.1</v>
      </c>
      <c r="BN54" s="28" t="n">
        <f aca="false">(I54*2)+0.1</f>
        <v>0.1</v>
      </c>
      <c r="BO54" s="28" t="n">
        <f aca="false">AW54</f>
        <v>0.666666666666667</v>
      </c>
      <c r="BP54" s="28" t="n">
        <f aca="false">AX54</f>
        <v>0.25</v>
      </c>
      <c r="BQ54" s="28" t="n">
        <f aca="false">AY54</f>
        <v>0.25</v>
      </c>
      <c r="BR54" s="28" t="n">
        <f aca="false">AZ54</f>
        <v>0.833333333333333</v>
      </c>
      <c r="BS54" s="28" t="n">
        <f aca="false">BA54</f>
        <v>0.416666666666667</v>
      </c>
      <c r="BT54" s="28" t="n">
        <f aca="false">BB54</f>
        <v>0.416666666666667</v>
      </c>
      <c r="BU54" s="28" t="n">
        <f aca="false">BC54</f>
        <v>0</v>
      </c>
    </row>
    <row r="55" customFormat="false" ht="18.3" hidden="false" customHeight="true" outlineLevel="0" collapsed="false">
      <c r="B55" s="12" t="n">
        <v>49</v>
      </c>
      <c r="C55" s="12"/>
      <c r="D55" s="12" t="n">
        <v>0</v>
      </c>
      <c r="E55" s="12" t="n">
        <v>1</v>
      </c>
      <c r="F55" s="12" t="n">
        <v>0</v>
      </c>
      <c r="G55" s="12" t="n">
        <v>0</v>
      </c>
      <c r="H55" s="12" t="n">
        <v>1</v>
      </c>
      <c r="I55" s="12" t="n">
        <v>0</v>
      </c>
      <c r="J55" s="13"/>
      <c r="K55" s="30"/>
      <c r="L55" s="17"/>
      <c r="M55" s="33" t="n">
        <v>1</v>
      </c>
      <c r="N55" s="12" t="n">
        <v>1</v>
      </c>
      <c r="O55" s="12"/>
      <c r="P55" s="12" t="n">
        <v>1</v>
      </c>
      <c r="Q55" s="30" t="n">
        <v>1</v>
      </c>
      <c r="R55" s="18"/>
      <c r="S55" s="12"/>
      <c r="T55" s="12"/>
      <c r="U55" s="12"/>
      <c r="V55" s="12"/>
      <c r="W55" s="12"/>
      <c r="X55" s="13"/>
      <c r="Y55" s="12" t="n">
        <f aca="false">COUNT(K55:W55)</f>
        <v>4</v>
      </c>
      <c r="Z55" s="13"/>
      <c r="AC55" s="22" t="n">
        <v>0.666666666666667</v>
      </c>
      <c r="AD55" s="22" t="n">
        <v>0.25</v>
      </c>
      <c r="AF55" s="22" t="n">
        <v>0.416666666666667</v>
      </c>
      <c r="AG55" s="22" t="n">
        <v>0</v>
      </c>
      <c r="AN55" s="13"/>
      <c r="AO55" s="22"/>
      <c r="AP55" s="22" t="n">
        <v>0.666666666666667</v>
      </c>
      <c r="AQ55" s="22" t="n">
        <v>0.25</v>
      </c>
      <c r="AR55" s="22"/>
      <c r="AS55" s="22" t="n">
        <v>0.416666666666667</v>
      </c>
      <c r="AT55" s="22" t="n">
        <v>0</v>
      </c>
      <c r="AU55" s="22"/>
      <c r="AV55" s="13"/>
      <c r="AW55" s="22" t="n">
        <v>0.666666666666667</v>
      </c>
      <c r="AX55" s="22" t="n">
        <v>0.25</v>
      </c>
      <c r="AY55" s="22" t="n">
        <v>0.25</v>
      </c>
      <c r="AZ55" s="22" t="n">
        <v>0.25</v>
      </c>
      <c r="BA55" s="22" t="n">
        <v>0.416666666666667</v>
      </c>
      <c r="BB55" s="22" t="n">
        <v>0.416666666666667</v>
      </c>
      <c r="BC55" s="22" t="n">
        <v>0</v>
      </c>
      <c r="BD55" s="13"/>
      <c r="BE55" s="13"/>
      <c r="BF55" s="13"/>
      <c r="BG55" s="28" t="n">
        <f aca="false">B55</f>
        <v>49</v>
      </c>
      <c r="BH55" s="28" t="n">
        <f aca="false">Y55</f>
        <v>4</v>
      </c>
      <c r="BI55" s="28" t="n">
        <f aca="false">D55+0.1</f>
        <v>0.1</v>
      </c>
      <c r="BJ55" s="28" t="n">
        <f aca="false">(E55*2)+0.1</f>
        <v>2.1</v>
      </c>
      <c r="BK55" s="28" t="n">
        <f aca="false">F55+0.1</f>
        <v>0.1</v>
      </c>
      <c r="BL55" s="28" t="n">
        <f aca="false">(G55*2)+0.1</f>
        <v>0.1</v>
      </c>
      <c r="BM55" s="28" t="n">
        <f aca="false">H55+0.1</f>
        <v>1.1</v>
      </c>
      <c r="BN55" s="28" t="n">
        <f aca="false">(I55*2)+0.1</f>
        <v>0.1</v>
      </c>
      <c r="BO55" s="28" t="n">
        <f aca="false">AW55</f>
        <v>0.666666666666667</v>
      </c>
      <c r="BP55" s="28" t="n">
        <f aca="false">AX55</f>
        <v>0.25</v>
      </c>
      <c r="BQ55" s="28" t="n">
        <f aca="false">AY55</f>
        <v>0.25</v>
      </c>
      <c r="BR55" s="28" t="n">
        <f aca="false">AZ55</f>
        <v>0.25</v>
      </c>
      <c r="BS55" s="28" t="n">
        <f aca="false">BA55</f>
        <v>0.416666666666667</v>
      </c>
      <c r="BT55" s="28" t="n">
        <f aca="false">BB55</f>
        <v>0.416666666666667</v>
      </c>
      <c r="BU55" s="28" t="n">
        <f aca="false">BC55</f>
        <v>0</v>
      </c>
    </row>
    <row r="56" customFormat="false" ht="18.3" hidden="false" customHeight="true" outlineLevel="0" collapsed="false">
      <c r="B56" s="12" t="n">
        <v>50</v>
      </c>
      <c r="C56" s="12"/>
      <c r="D56" s="12" t="n">
        <v>0</v>
      </c>
      <c r="E56" s="12" t="n">
        <v>5</v>
      </c>
      <c r="F56" s="12" t="n">
        <v>0</v>
      </c>
      <c r="G56" s="12" t="n">
        <v>0</v>
      </c>
      <c r="H56" s="12" t="n">
        <v>0</v>
      </c>
      <c r="I56" s="12" t="n">
        <v>0</v>
      </c>
      <c r="J56" s="13"/>
      <c r="K56" s="30"/>
      <c r="L56" s="29" t="n">
        <v>1</v>
      </c>
      <c r="M56" s="12" t="n">
        <v>1</v>
      </c>
      <c r="N56" s="12" t="n">
        <v>1</v>
      </c>
      <c r="O56" s="12" t="n">
        <v>1</v>
      </c>
      <c r="P56" s="12" t="n">
        <v>1</v>
      </c>
      <c r="Q56" s="30" t="n">
        <v>1</v>
      </c>
      <c r="R56" s="18"/>
      <c r="S56" s="12"/>
      <c r="T56" s="12"/>
      <c r="U56" s="12"/>
      <c r="V56" s="12"/>
      <c r="W56" s="12"/>
      <c r="X56" s="13"/>
      <c r="Y56" s="12" t="n">
        <f aca="false">COUNT(K56:W56)</f>
        <v>6</v>
      </c>
      <c r="Z56" s="13"/>
      <c r="AB56" s="22" t="n">
        <v>0.0833333333333333</v>
      </c>
      <c r="AC56" s="22" t="n">
        <v>0.666666666666667</v>
      </c>
      <c r="AD56" s="22" t="n">
        <v>0.25</v>
      </c>
      <c r="AE56" s="22" t="n">
        <v>0.833333333333333</v>
      </c>
      <c r="AF56" s="22" t="n">
        <v>0.416666666666667</v>
      </c>
      <c r="AG56" s="22" t="n">
        <v>1</v>
      </c>
      <c r="AN56" s="13"/>
      <c r="AO56" s="22" t="n">
        <v>0.0833333333333333</v>
      </c>
      <c r="AP56" s="22" t="n">
        <v>0.666666666666667</v>
      </c>
      <c r="AQ56" s="22" t="n">
        <v>0.25</v>
      </c>
      <c r="AR56" s="22" t="n">
        <v>0.833333333333333</v>
      </c>
      <c r="AS56" s="22" t="n">
        <v>0.416666666666667</v>
      </c>
      <c r="AT56" s="22" t="n">
        <v>1</v>
      </c>
      <c r="AU56" s="22"/>
      <c r="AV56" s="13"/>
      <c r="AW56" s="22" t="n">
        <v>0.0833333333333333</v>
      </c>
      <c r="AX56" s="22" t="n">
        <v>0.666666666666667</v>
      </c>
      <c r="AY56" s="22" t="n">
        <v>0.25</v>
      </c>
      <c r="AZ56" s="31" t="n">
        <v>0.833333333333333</v>
      </c>
      <c r="BA56" s="22" t="n">
        <v>0.416666666666667</v>
      </c>
      <c r="BB56" s="22" t="n">
        <v>0.416666666666667</v>
      </c>
      <c r="BC56" s="22" t="n">
        <v>1</v>
      </c>
      <c r="BD56" s="13"/>
      <c r="BE56" s="13"/>
      <c r="BF56" s="13"/>
      <c r="BG56" s="28" t="n">
        <f aca="false">B56</f>
        <v>50</v>
      </c>
      <c r="BH56" s="28" t="n">
        <f aca="false">Y56</f>
        <v>6</v>
      </c>
      <c r="BI56" s="28" t="n">
        <f aca="false">D56+0.1</f>
        <v>0.1</v>
      </c>
      <c r="BJ56" s="28" t="n">
        <f aca="false">(E56*2)+0.1</f>
        <v>10.1</v>
      </c>
      <c r="BK56" s="28" t="n">
        <f aca="false">F56+0.1</f>
        <v>0.1</v>
      </c>
      <c r="BL56" s="28" t="n">
        <f aca="false">(G56*2)+0.1</f>
        <v>0.1</v>
      </c>
      <c r="BM56" s="28" t="n">
        <f aca="false">H56+0.1</f>
        <v>0.1</v>
      </c>
      <c r="BN56" s="28" t="n">
        <f aca="false">(I56*2)+0.1</f>
        <v>0.1</v>
      </c>
      <c r="BO56" s="28" t="n">
        <f aca="false">AW56</f>
        <v>0.0833333333333333</v>
      </c>
      <c r="BP56" s="28" t="n">
        <f aca="false">AX56</f>
        <v>0.666666666666667</v>
      </c>
      <c r="BQ56" s="28" t="n">
        <f aca="false">AY56</f>
        <v>0.25</v>
      </c>
      <c r="BR56" s="28" t="n">
        <f aca="false">AZ56</f>
        <v>0.833333333333333</v>
      </c>
      <c r="BS56" s="28" t="n">
        <f aca="false">BA56</f>
        <v>0.416666666666667</v>
      </c>
      <c r="BT56" s="28" t="n">
        <f aca="false">BB56</f>
        <v>0.416666666666667</v>
      </c>
      <c r="BU56" s="28" t="n">
        <f aca="false">BC56</f>
        <v>1</v>
      </c>
    </row>
    <row r="57" customFormat="false" ht="18.3" hidden="false" customHeight="true" outlineLevel="0" collapsed="false">
      <c r="B57" s="12" t="n">
        <v>51</v>
      </c>
      <c r="C57" s="12"/>
      <c r="D57" s="12" t="n">
        <v>0</v>
      </c>
      <c r="E57" s="12" t="n">
        <v>1</v>
      </c>
      <c r="F57" s="12" t="n">
        <v>0</v>
      </c>
      <c r="G57" s="12" t="n">
        <v>1</v>
      </c>
      <c r="H57" s="12" t="n">
        <v>0</v>
      </c>
      <c r="I57" s="12" t="n">
        <v>0</v>
      </c>
      <c r="J57" s="13"/>
      <c r="K57" s="30"/>
      <c r="L57" s="29" t="n">
        <v>1</v>
      </c>
      <c r="M57" s="12" t="n">
        <v>1</v>
      </c>
      <c r="N57" s="12"/>
      <c r="O57" s="12"/>
      <c r="P57" s="12" t="n">
        <v>1</v>
      </c>
      <c r="Q57" s="30" t="n">
        <v>1</v>
      </c>
      <c r="R57" s="18"/>
      <c r="S57" s="12"/>
      <c r="T57" s="12"/>
      <c r="U57" s="12"/>
      <c r="V57" s="12"/>
      <c r="W57" s="12"/>
      <c r="X57" s="13"/>
      <c r="Y57" s="12" t="n">
        <f aca="false">COUNT(K57:W57)</f>
        <v>4</v>
      </c>
      <c r="Z57" s="13"/>
      <c r="AB57" s="22" t="n">
        <v>0.0833333333333333</v>
      </c>
      <c r="AC57" s="22" t="n">
        <v>0.666666666666667</v>
      </c>
      <c r="AF57" s="22" t="n">
        <v>0.416666666666667</v>
      </c>
      <c r="AG57" s="22" t="n">
        <v>1</v>
      </c>
      <c r="AN57" s="13"/>
      <c r="AO57" s="22" t="n">
        <v>0.0833333333333333</v>
      </c>
      <c r="AP57" s="22" t="n">
        <v>0.666666666666667</v>
      </c>
      <c r="AQ57" s="22"/>
      <c r="AR57" s="22"/>
      <c r="AS57" s="22" t="n">
        <v>0.416666666666667</v>
      </c>
      <c r="AT57" s="22" t="n">
        <v>1</v>
      </c>
      <c r="AU57" s="22"/>
      <c r="AV57" s="13"/>
      <c r="AW57" s="22" t="n">
        <v>0.0833333333333333</v>
      </c>
      <c r="AX57" s="22" t="n">
        <v>0.666666666666667</v>
      </c>
      <c r="AY57" s="22" t="n">
        <v>0.666666666666667</v>
      </c>
      <c r="AZ57" s="22" t="n">
        <v>0.416666666666667</v>
      </c>
      <c r="BA57" s="22" t="n">
        <v>0.416666666666667</v>
      </c>
      <c r="BB57" s="22" t="n">
        <v>1</v>
      </c>
      <c r="BC57" s="22" t="n">
        <v>1</v>
      </c>
      <c r="BD57" s="13"/>
      <c r="BE57" s="13"/>
      <c r="BF57" s="13"/>
      <c r="BG57" s="28" t="n">
        <f aca="false">B57</f>
        <v>51</v>
      </c>
      <c r="BH57" s="28" t="n">
        <f aca="false">Y57</f>
        <v>4</v>
      </c>
      <c r="BI57" s="28" t="n">
        <f aca="false">D57+0.1</f>
        <v>0.1</v>
      </c>
      <c r="BJ57" s="28" t="n">
        <f aca="false">(E57*2)+0.1</f>
        <v>2.1</v>
      </c>
      <c r="BK57" s="28" t="n">
        <f aca="false">F57+0.1</f>
        <v>0.1</v>
      </c>
      <c r="BL57" s="28" t="n">
        <f aca="false">(G57*2)+0.1</f>
        <v>2.1</v>
      </c>
      <c r="BM57" s="28" t="n">
        <f aca="false">H57+0.1</f>
        <v>0.1</v>
      </c>
      <c r="BN57" s="28" t="n">
        <f aca="false">(I57*2)+0.1</f>
        <v>0.1</v>
      </c>
      <c r="BO57" s="28" t="n">
        <f aca="false">AW57</f>
        <v>0.0833333333333333</v>
      </c>
      <c r="BP57" s="28" t="n">
        <f aca="false">AX57</f>
        <v>0.666666666666667</v>
      </c>
      <c r="BQ57" s="28" t="n">
        <f aca="false">AY57</f>
        <v>0.666666666666667</v>
      </c>
      <c r="BR57" s="28" t="n">
        <f aca="false">AZ57</f>
        <v>0.416666666666667</v>
      </c>
      <c r="BS57" s="28" t="n">
        <f aca="false">BA57</f>
        <v>0.416666666666667</v>
      </c>
      <c r="BT57" s="28" t="n">
        <f aca="false">BB57</f>
        <v>1</v>
      </c>
      <c r="BU57" s="28" t="n">
        <f aca="false">BC57</f>
        <v>1</v>
      </c>
    </row>
    <row r="58" customFormat="false" ht="18.3" hidden="false" customHeight="true" outlineLevel="0" collapsed="false">
      <c r="B58" s="12" t="n">
        <v>52</v>
      </c>
      <c r="C58" s="12"/>
      <c r="D58" s="12" t="n">
        <v>0</v>
      </c>
      <c r="E58" s="12" t="n">
        <v>2</v>
      </c>
      <c r="F58" s="12" t="n">
        <v>0</v>
      </c>
      <c r="G58" s="12" t="n">
        <v>0</v>
      </c>
      <c r="H58" s="12" t="n">
        <v>1</v>
      </c>
      <c r="I58" s="12" t="n">
        <v>0</v>
      </c>
      <c r="J58" s="13"/>
      <c r="K58" s="30"/>
      <c r="L58" s="32" t="n">
        <v>1</v>
      </c>
      <c r="M58" s="20" t="n">
        <v>1</v>
      </c>
      <c r="N58" s="20" t="n">
        <v>1</v>
      </c>
      <c r="O58" s="20" t="n">
        <v>1</v>
      </c>
      <c r="P58" s="20" t="n">
        <v>1</v>
      </c>
      <c r="Q58" s="20" t="n">
        <v>1</v>
      </c>
      <c r="R58" s="21"/>
      <c r="S58" s="12"/>
      <c r="T58" s="12"/>
      <c r="U58" s="12"/>
      <c r="V58" s="12"/>
      <c r="W58" s="12"/>
      <c r="X58" s="13"/>
      <c r="Y58" s="12" t="n">
        <f aca="false">COUNT(K58:W58)</f>
        <v>6</v>
      </c>
      <c r="Z58" s="13"/>
      <c r="AB58" s="22" t="n">
        <v>0.0833333333333333</v>
      </c>
      <c r="AC58" s="22" t="n">
        <v>0.666666666666667</v>
      </c>
      <c r="AD58" s="22" t="n">
        <v>0.25</v>
      </c>
      <c r="AE58" s="22" t="n">
        <v>0.833333333333333</v>
      </c>
      <c r="AF58" s="22" t="n">
        <v>0.416666666666667</v>
      </c>
      <c r="AG58" s="22" t="n">
        <v>1</v>
      </c>
      <c r="AN58" s="13"/>
      <c r="AO58" s="22" t="n">
        <v>0.0833333333333333</v>
      </c>
      <c r="AP58" s="22" t="n">
        <v>0.666666666666667</v>
      </c>
      <c r="AQ58" s="22" t="n">
        <v>0.25</v>
      </c>
      <c r="AR58" s="22" t="n">
        <v>0.833333333333333</v>
      </c>
      <c r="AS58" s="22" t="n">
        <v>0.416666666666667</v>
      </c>
      <c r="AT58" s="22" t="n">
        <v>1</v>
      </c>
      <c r="AU58" s="22"/>
      <c r="AV58" s="13"/>
      <c r="AW58" s="22" t="n">
        <v>0.0833333333333333</v>
      </c>
      <c r="AX58" s="22" t="n">
        <v>0.666666666666667</v>
      </c>
      <c r="AY58" s="22" t="n">
        <v>0.25</v>
      </c>
      <c r="AZ58" s="31" t="n">
        <v>0.833333333333333</v>
      </c>
      <c r="BA58" s="22" t="n">
        <v>0.416666666666667</v>
      </c>
      <c r="BB58" s="22" t="n">
        <v>0.416666666666667</v>
      </c>
      <c r="BC58" s="22" t="n">
        <v>1</v>
      </c>
      <c r="BD58" s="13"/>
      <c r="BE58" s="13"/>
      <c r="BF58" s="13"/>
      <c r="BG58" s="28" t="n">
        <f aca="false">B58</f>
        <v>52</v>
      </c>
      <c r="BH58" s="28" t="n">
        <f aca="false">Y58</f>
        <v>6</v>
      </c>
      <c r="BI58" s="28" t="n">
        <f aca="false">D58+0.1</f>
        <v>0.1</v>
      </c>
      <c r="BJ58" s="28" t="n">
        <f aca="false">(E58*2)+0.1</f>
        <v>4.1</v>
      </c>
      <c r="BK58" s="28" t="n">
        <f aca="false">F58+0.1</f>
        <v>0.1</v>
      </c>
      <c r="BL58" s="28" t="n">
        <f aca="false">(G58*2)+0.1</f>
        <v>0.1</v>
      </c>
      <c r="BM58" s="28" t="n">
        <f aca="false">H58+0.1</f>
        <v>1.1</v>
      </c>
      <c r="BN58" s="28" t="n">
        <f aca="false">(I58*2)+0.1</f>
        <v>0.1</v>
      </c>
      <c r="BO58" s="28" t="n">
        <f aca="false">AW58</f>
        <v>0.0833333333333333</v>
      </c>
      <c r="BP58" s="28" t="n">
        <f aca="false">AX58</f>
        <v>0.666666666666667</v>
      </c>
      <c r="BQ58" s="28" t="n">
        <f aca="false">AY58</f>
        <v>0.25</v>
      </c>
      <c r="BR58" s="28" t="n">
        <f aca="false">AZ58</f>
        <v>0.833333333333333</v>
      </c>
      <c r="BS58" s="28" t="n">
        <f aca="false">BA58</f>
        <v>0.416666666666667</v>
      </c>
      <c r="BT58" s="28" t="n">
        <f aca="false">BB58</f>
        <v>0.416666666666667</v>
      </c>
      <c r="BU58" s="28" t="n">
        <f aca="false">BC58</f>
        <v>1</v>
      </c>
    </row>
    <row r="59" customFormat="false" ht="18.3" hidden="false" customHeight="true" outlineLevel="0" collapsed="false">
      <c r="B59" s="12" t="n">
        <v>53</v>
      </c>
      <c r="C59" s="12"/>
      <c r="D59" s="12" t="n">
        <v>0</v>
      </c>
      <c r="E59" s="12" t="n">
        <v>3</v>
      </c>
      <c r="F59" s="12" t="n">
        <v>0</v>
      </c>
      <c r="G59" s="12" t="n">
        <v>0</v>
      </c>
      <c r="H59" s="12" t="n">
        <v>1</v>
      </c>
      <c r="I59" s="12" t="n">
        <v>0</v>
      </c>
      <c r="J59" s="13"/>
      <c r="K59" s="27" t="n">
        <v>1</v>
      </c>
      <c r="L59" s="15" t="n">
        <v>1</v>
      </c>
      <c r="M59" s="15" t="n">
        <v>1</v>
      </c>
      <c r="N59" s="15" t="n">
        <v>1</v>
      </c>
      <c r="O59" s="15" t="n">
        <v>1</v>
      </c>
      <c r="P59" s="15" t="n">
        <v>1</v>
      </c>
      <c r="Q59" s="16" t="n">
        <v>1</v>
      </c>
      <c r="R59" s="12"/>
      <c r="S59" s="12"/>
      <c r="T59" s="12"/>
      <c r="U59" s="12"/>
      <c r="V59" s="12"/>
      <c r="W59" s="12"/>
      <c r="X59" s="13"/>
      <c r="Y59" s="12" t="n">
        <f aca="false">COUNT(K59:W59)</f>
        <v>7</v>
      </c>
      <c r="Z59" s="13"/>
      <c r="AA59" s="22" t="n">
        <v>0.5</v>
      </c>
      <c r="AB59" s="22" t="n">
        <v>0.0833333333333333</v>
      </c>
      <c r="AC59" s="22" t="n">
        <v>0.666666666666667</v>
      </c>
      <c r="AD59" s="22" t="n">
        <v>0.25</v>
      </c>
      <c r="AE59" s="22" t="n">
        <v>0.833333333333333</v>
      </c>
      <c r="AF59" s="22" t="n">
        <v>1.417</v>
      </c>
      <c r="AG59" s="22" t="n">
        <v>1</v>
      </c>
      <c r="AN59" s="13"/>
      <c r="AO59" s="22" t="n">
        <v>0.5</v>
      </c>
      <c r="AP59" s="22" t="n">
        <v>0.0833333333333333</v>
      </c>
      <c r="AQ59" s="22" t="n">
        <v>0.666666666666667</v>
      </c>
      <c r="AR59" s="22" t="n">
        <v>0.25</v>
      </c>
      <c r="AS59" s="22" t="n">
        <v>0.833333333333333</v>
      </c>
      <c r="AT59" s="22" t="n">
        <v>1.417</v>
      </c>
      <c r="AU59" s="22" t="n">
        <v>1</v>
      </c>
      <c r="AV59" s="13"/>
      <c r="AW59" s="22" t="n">
        <v>0.5</v>
      </c>
      <c r="AX59" s="22" t="n">
        <v>0.0833333333333333</v>
      </c>
      <c r="AY59" s="22" t="n">
        <v>0.666666666666667</v>
      </c>
      <c r="AZ59" s="31" t="n">
        <v>0.25</v>
      </c>
      <c r="BA59" s="22" t="n">
        <v>0.833333333333333</v>
      </c>
      <c r="BB59" s="22" t="n">
        <v>1.417</v>
      </c>
      <c r="BC59" s="22" t="n">
        <v>1</v>
      </c>
      <c r="BD59" s="13"/>
      <c r="BE59" s="13"/>
      <c r="BF59" s="13"/>
      <c r="BG59" s="28" t="n">
        <f aca="false">B59</f>
        <v>53</v>
      </c>
      <c r="BH59" s="28" t="n">
        <f aca="false">Y59</f>
        <v>7</v>
      </c>
      <c r="BI59" s="28" t="n">
        <f aca="false">D59+0.1</f>
        <v>0.1</v>
      </c>
      <c r="BJ59" s="28" t="n">
        <f aca="false">(E59*2)+0.1</f>
        <v>6.1</v>
      </c>
      <c r="BK59" s="28" t="n">
        <f aca="false">F59+0.1</f>
        <v>0.1</v>
      </c>
      <c r="BL59" s="28" t="n">
        <f aca="false">(G59*2)+0.1</f>
        <v>0.1</v>
      </c>
      <c r="BM59" s="28" t="n">
        <f aca="false">H59+0.1</f>
        <v>1.1</v>
      </c>
      <c r="BN59" s="28" t="n">
        <f aca="false">(I59*2)+0.1</f>
        <v>0.1</v>
      </c>
      <c r="BO59" s="28" t="n">
        <f aca="false">AW59</f>
        <v>0.5</v>
      </c>
      <c r="BP59" s="28" t="n">
        <f aca="false">AX59</f>
        <v>0.0833333333333333</v>
      </c>
      <c r="BQ59" s="28" t="n">
        <f aca="false">AY59</f>
        <v>0.666666666666667</v>
      </c>
      <c r="BR59" s="28" t="n">
        <f aca="false">AZ59</f>
        <v>0.25</v>
      </c>
      <c r="BS59" s="28" t="n">
        <f aca="false">BA59</f>
        <v>0.833333333333333</v>
      </c>
      <c r="BT59" s="28" t="n">
        <f aca="false">BB59</f>
        <v>1.417</v>
      </c>
      <c r="BU59" s="28" t="n">
        <f aca="false">BC59</f>
        <v>1</v>
      </c>
    </row>
    <row r="60" customFormat="false" ht="18.3" hidden="false" customHeight="true" outlineLevel="0" collapsed="false">
      <c r="B60" s="12" t="n">
        <v>54</v>
      </c>
      <c r="C60" s="12"/>
      <c r="D60" s="12" t="n">
        <v>0</v>
      </c>
      <c r="E60" s="12" t="n">
        <v>2</v>
      </c>
      <c r="F60" s="12" t="n">
        <v>0</v>
      </c>
      <c r="G60" s="12" t="n">
        <v>1</v>
      </c>
      <c r="H60" s="12" t="n">
        <v>0</v>
      </c>
      <c r="I60" s="12" t="n">
        <v>0</v>
      </c>
      <c r="J60" s="13"/>
      <c r="K60" s="32" t="n">
        <v>1</v>
      </c>
      <c r="L60" s="20" t="n">
        <v>1</v>
      </c>
      <c r="M60" s="20" t="n">
        <v>1</v>
      </c>
      <c r="N60" s="20"/>
      <c r="O60" s="20" t="n">
        <v>1</v>
      </c>
      <c r="P60" s="20" t="n">
        <v>1</v>
      </c>
      <c r="Q60" s="21" t="n">
        <v>1</v>
      </c>
      <c r="R60" s="12"/>
      <c r="S60" s="12"/>
      <c r="T60" s="12"/>
      <c r="U60" s="12"/>
      <c r="V60" s="12"/>
      <c r="W60" s="12"/>
      <c r="X60" s="13"/>
      <c r="Y60" s="12" t="n">
        <f aca="false">COUNT(K60:W60)</f>
        <v>6</v>
      </c>
      <c r="Z60" s="13"/>
      <c r="AA60" s="22" t="n">
        <v>0.5</v>
      </c>
      <c r="AB60" s="22" t="n">
        <v>0.0833333333333333</v>
      </c>
      <c r="AC60" s="22" t="n">
        <v>0.666666666666667</v>
      </c>
      <c r="AE60" s="22" t="n">
        <v>0.833333333333333</v>
      </c>
      <c r="AF60" s="22" t="n">
        <v>1.417</v>
      </c>
      <c r="AG60" s="22" t="n">
        <v>1</v>
      </c>
      <c r="AN60" s="13"/>
      <c r="AO60" s="22" t="n">
        <v>0.5</v>
      </c>
      <c r="AP60" s="22" t="n">
        <v>0.0833333333333333</v>
      </c>
      <c r="AQ60" s="22" t="n">
        <v>0.666666666666667</v>
      </c>
      <c r="AR60" s="22"/>
      <c r="AS60" s="22" t="n">
        <v>0.833333333333333</v>
      </c>
      <c r="AT60" s="22" t="n">
        <v>1.417</v>
      </c>
      <c r="AU60" s="22" t="n">
        <v>1</v>
      </c>
      <c r="AV60" s="13"/>
      <c r="AW60" s="22" t="n">
        <v>0.5</v>
      </c>
      <c r="AX60" s="22" t="n">
        <v>0.0833333333333333</v>
      </c>
      <c r="AY60" s="22" t="n">
        <v>0.666666666666667</v>
      </c>
      <c r="AZ60" s="22" t="n">
        <v>0.833333333333333</v>
      </c>
      <c r="BA60" s="22" t="n">
        <v>0.833333333333333</v>
      </c>
      <c r="BB60" s="22" t="n">
        <v>1.417</v>
      </c>
      <c r="BC60" s="22" t="n">
        <v>1</v>
      </c>
      <c r="BD60" s="13"/>
      <c r="BE60" s="13"/>
      <c r="BF60" s="13"/>
      <c r="BG60" s="28" t="n">
        <f aca="false">B60</f>
        <v>54</v>
      </c>
      <c r="BH60" s="28" t="n">
        <f aca="false">Y60</f>
        <v>6</v>
      </c>
      <c r="BI60" s="28" t="n">
        <f aca="false">D60+0.1</f>
        <v>0.1</v>
      </c>
      <c r="BJ60" s="28" t="n">
        <f aca="false">(E60*2)+0.1</f>
        <v>4.1</v>
      </c>
      <c r="BK60" s="28" t="n">
        <f aca="false">F60+0.1</f>
        <v>0.1</v>
      </c>
      <c r="BL60" s="28" t="n">
        <f aca="false">(G60*2)+0.1</f>
        <v>2.1</v>
      </c>
      <c r="BM60" s="28" t="n">
        <f aca="false">H60+0.1</f>
        <v>0.1</v>
      </c>
      <c r="BN60" s="28" t="n">
        <f aca="false">(I60*2)+0.1</f>
        <v>0.1</v>
      </c>
      <c r="BO60" s="28" t="n">
        <f aca="false">AW60</f>
        <v>0.5</v>
      </c>
      <c r="BP60" s="28" t="n">
        <f aca="false">AX60</f>
        <v>0.0833333333333333</v>
      </c>
      <c r="BQ60" s="28" t="n">
        <f aca="false">AY60</f>
        <v>0.666666666666667</v>
      </c>
      <c r="BR60" s="28" t="n">
        <f aca="false">AZ60</f>
        <v>0.833333333333333</v>
      </c>
      <c r="BS60" s="28" t="n">
        <f aca="false">BA60</f>
        <v>0.833333333333333</v>
      </c>
      <c r="BT60" s="28" t="n">
        <f aca="false">BB60</f>
        <v>1.417</v>
      </c>
      <c r="BU60" s="28" t="n">
        <f aca="false">BC60</f>
        <v>1</v>
      </c>
    </row>
    <row r="61" customFormat="false" ht="18.3" hidden="false" customHeight="true" outlineLevel="0" collapsed="false">
      <c r="A61" s="12" t="s">
        <v>109</v>
      </c>
      <c r="B61" s="12" t="s">
        <v>109</v>
      </c>
      <c r="C61" s="12" t="s">
        <v>109</v>
      </c>
      <c r="D61" s="12" t="s">
        <v>109</v>
      </c>
      <c r="E61" s="12" t="s">
        <v>109</v>
      </c>
      <c r="F61" s="12" t="s">
        <v>109</v>
      </c>
      <c r="G61" s="12" t="s">
        <v>109</v>
      </c>
      <c r="H61" s="12" t="s">
        <v>109</v>
      </c>
      <c r="I61" s="12" t="s">
        <v>109</v>
      </c>
      <c r="J61" s="12" t="s">
        <v>109</v>
      </c>
      <c r="K61" s="12" t="s">
        <v>109</v>
      </c>
      <c r="L61" s="12" t="s">
        <v>109</v>
      </c>
      <c r="M61" s="12" t="s">
        <v>109</v>
      </c>
      <c r="N61" s="12" t="s">
        <v>109</v>
      </c>
      <c r="O61" s="12" t="s">
        <v>109</v>
      </c>
      <c r="P61" s="12" t="s">
        <v>109</v>
      </c>
      <c r="Q61" s="12" t="s">
        <v>109</v>
      </c>
      <c r="R61" s="12" t="s">
        <v>109</v>
      </c>
      <c r="S61" s="12" t="s">
        <v>109</v>
      </c>
      <c r="T61" s="12" t="s">
        <v>109</v>
      </c>
      <c r="U61" s="12" t="s">
        <v>109</v>
      </c>
      <c r="V61" s="12" t="s">
        <v>109</v>
      </c>
      <c r="W61" s="12" t="s">
        <v>109</v>
      </c>
      <c r="X61" s="12" t="s">
        <v>109</v>
      </c>
      <c r="Y61" s="12" t="s">
        <v>109</v>
      </c>
      <c r="Z61" s="12" t="s">
        <v>109</v>
      </c>
      <c r="AA61" s="12" t="s">
        <v>109</v>
      </c>
      <c r="AB61" s="12" t="s">
        <v>109</v>
      </c>
      <c r="AC61" s="12" t="s">
        <v>109</v>
      </c>
      <c r="AD61" s="12" t="s">
        <v>109</v>
      </c>
      <c r="AE61" s="12" t="s">
        <v>109</v>
      </c>
      <c r="AF61" s="12" t="s">
        <v>109</v>
      </c>
      <c r="AG61" s="12" t="s">
        <v>109</v>
      </c>
      <c r="AH61" s="12" t="s">
        <v>109</v>
      </c>
      <c r="AI61" s="12" t="s">
        <v>109</v>
      </c>
      <c r="AJ61" s="12" t="s">
        <v>109</v>
      </c>
      <c r="AK61" s="12" t="s">
        <v>109</v>
      </c>
      <c r="AL61" s="12" t="s">
        <v>109</v>
      </c>
      <c r="AM61" s="12" t="s">
        <v>109</v>
      </c>
      <c r="AN61" s="12" t="s">
        <v>109</v>
      </c>
      <c r="AV61" s="12" t="s">
        <v>109</v>
      </c>
      <c r="BD61" s="12" t="s">
        <v>109</v>
      </c>
      <c r="BE61" s="12" t="s">
        <v>109</v>
      </c>
      <c r="BF61" s="12" t="s">
        <v>109</v>
      </c>
    </row>
  </sheetData>
  <mergeCells count="1">
    <mergeCell ref="BQ2:BR4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2:U6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6" activeCellId="0" sqref="B6"/>
    </sheetView>
  </sheetViews>
  <sheetFormatPr defaultColWidth="11.66015625" defaultRowHeight="12.8" zeroHeight="false" outlineLevelRow="0" outlineLevelCol="0"/>
  <cols>
    <col collapsed="false" customWidth="true" hidden="false" outlineLevel="0" max="21" min="1" style="0" width="5.79"/>
  </cols>
  <sheetData>
    <row r="2" customFormat="false" ht="64.55" hidden="false" customHeight="false" outlineLevel="0" collapsed="false">
      <c r="L2" s="35" t="s">
        <v>113</v>
      </c>
      <c r="M2" s="35"/>
      <c r="N2" s="35"/>
      <c r="O2" s="35"/>
      <c r="P2" s="35"/>
      <c r="Q2" s="35"/>
    </row>
    <row r="3" customFormat="false" ht="12.8" hidden="false" customHeight="false" outlineLevel="0" collapsed="false">
      <c r="U3" s="0" t="s">
        <v>126</v>
      </c>
    </row>
    <row r="6" customFormat="false" ht="12.8" hidden="false" customHeight="false" outlineLevel="0" collapsed="false">
      <c r="B6" s="36" t="s">
        <v>95</v>
      </c>
      <c r="C6" s="36" t="s">
        <v>108</v>
      </c>
      <c r="D6" s="36" t="s">
        <v>96</v>
      </c>
      <c r="E6" s="36" t="s">
        <v>97</v>
      </c>
      <c r="F6" s="36" t="s">
        <v>98</v>
      </c>
      <c r="G6" s="36" t="s">
        <v>99</v>
      </c>
      <c r="H6" s="36" t="s">
        <v>100</v>
      </c>
      <c r="I6" s="36" t="s">
        <v>101</v>
      </c>
      <c r="J6" s="36" t="s">
        <v>114</v>
      </c>
      <c r="K6" s="36" t="s">
        <v>115</v>
      </c>
      <c r="L6" s="36" t="s">
        <v>116</v>
      </c>
      <c r="M6" s="36" t="s">
        <v>117</v>
      </c>
      <c r="N6" s="36" t="s">
        <v>118</v>
      </c>
      <c r="O6" s="36" t="s">
        <v>119</v>
      </c>
      <c r="P6" s="36" t="s">
        <v>120</v>
      </c>
      <c r="Q6" s="36" t="s">
        <v>121</v>
      </c>
      <c r="R6" s="36" t="s">
        <v>122</v>
      </c>
      <c r="S6" s="36" t="s">
        <v>123</v>
      </c>
      <c r="T6" s="36" t="s">
        <v>124</v>
      </c>
      <c r="U6" s="36" t="s">
        <v>125</v>
      </c>
    </row>
    <row r="7" customFormat="false" ht="12.8" hidden="false" customHeight="false" outlineLevel="0" collapsed="false">
      <c r="B7" s="0" t="n">
        <v>1</v>
      </c>
      <c r="C7" s="0" t="n">
        <v>6</v>
      </c>
      <c r="D7" s="0" t="n">
        <v>2.1</v>
      </c>
      <c r="E7" s="0" t="n">
        <v>0.1</v>
      </c>
      <c r="F7" s="0" t="n">
        <v>1.1</v>
      </c>
      <c r="G7" s="0" t="n">
        <v>0.1</v>
      </c>
      <c r="H7" s="0" t="n">
        <v>0.1</v>
      </c>
      <c r="I7" s="0" t="n">
        <v>0.1</v>
      </c>
      <c r="J7" s="0" t="n">
        <v>0</v>
      </c>
      <c r="K7" s="0" t="n">
        <v>0.583333333333333</v>
      </c>
      <c r="L7" s="0" t="n">
        <v>0.166666666666667</v>
      </c>
      <c r="M7" s="0" t="n">
        <v>0.333333333333333</v>
      </c>
      <c r="N7" s="0" t="n">
        <v>0.333333333333333</v>
      </c>
      <c r="O7" s="0" t="n">
        <v>0.916666666666667</v>
      </c>
      <c r="P7" s="0" t="n">
        <v>1.5</v>
      </c>
    </row>
    <row r="8" customFormat="false" ht="12.8" hidden="true" customHeight="false" outlineLevel="0" collapsed="false">
      <c r="B8" s="0" t="n">
        <v>2</v>
      </c>
      <c r="C8" s="0" t="n">
        <v>7</v>
      </c>
      <c r="D8" s="0" t="n">
        <v>3.1</v>
      </c>
      <c r="E8" s="0" t="n">
        <v>0.1</v>
      </c>
      <c r="F8" s="0" t="n">
        <v>0.1</v>
      </c>
      <c r="G8" s="0" t="n">
        <v>0.1</v>
      </c>
      <c r="H8" s="0" t="n">
        <v>0.1</v>
      </c>
      <c r="I8" s="0" t="n">
        <v>2.1</v>
      </c>
      <c r="J8" s="0" t="n">
        <v>0</v>
      </c>
      <c r="K8" s="0" t="n">
        <v>0.583333333333333</v>
      </c>
      <c r="L8" s="0" t="n">
        <v>0.166666666666667</v>
      </c>
      <c r="M8" s="0" t="n">
        <v>0.75</v>
      </c>
      <c r="N8" s="0" t="n">
        <v>0.333333333333333</v>
      </c>
      <c r="O8" s="0" t="n">
        <v>0.916666666666667</v>
      </c>
      <c r="P8" s="0" t="n">
        <v>1.5</v>
      </c>
    </row>
    <row r="9" customFormat="false" ht="12.8" hidden="false" customHeight="false" outlineLevel="0" collapsed="false">
      <c r="B9" s="0" t="n">
        <v>3</v>
      </c>
      <c r="C9" s="0" t="n">
        <v>7</v>
      </c>
      <c r="D9" s="0" t="n">
        <v>6.1</v>
      </c>
      <c r="E9" s="0" t="n">
        <v>0.1</v>
      </c>
      <c r="F9" s="0" t="n">
        <v>0.1</v>
      </c>
      <c r="G9" s="0" t="n">
        <v>0.1</v>
      </c>
      <c r="H9" s="0" t="n">
        <v>0.1</v>
      </c>
      <c r="I9" s="0" t="n">
        <v>0.1</v>
      </c>
      <c r="J9" s="0" t="n">
        <v>0</v>
      </c>
      <c r="K9" s="0" t="n">
        <v>0.583333333333333</v>
      </c>
      <c r="L9" s="0" t="n">
        <v>0.166666666666667</v>
      </c>
      <c r="M9" s="0" t="n">
        <v>0.75</v>
      </c>
      <c r="N9" s="0" t="n">
        <v>0.333333333333333</v>
      </c>
      <c r="O9" s="0" t="n">
        <v>0.916666666666667</v>
      </c>
      <c r="P9" s="0" t="n">
        <v>1.5</v>
      </c>
    </row>
    <row r="10" customFormat="false" ht="12.8" hidden="false" customHeight="false" outlineLevel="0" collapsed="false">
      <c r="B10" s="0" t="n">
        <v>4</v>
      </c>
      <c r="C10" s="0" t="n">
        <v>4</v>
      </c>
      <c r="D10" s="0" t="n">
        <v>1.1</v>
      </c>
      <c r="E10" s="0" t="n">
        <v>0.1</v>
      </c>
      <c r="F10" s="0" t="n">
        <v>1.1</v>
      </c>
      <c r="G10" s="0" t="n">
        <v>0.1</v>
      </c>
      <c r="H10" s="0" t="n">
        <v>0.1</v>
      </c>
      <c r="I10" s="0" t="n">
        <v>0.1</v>
      </c>
      <c r="J10" s="0" t="n">
        <v>0</v>
      </c>
      <c r="K10" s="0" t="n">
        <v>0.583333333333333</v>
      </c>
      <c r="L10" s="0" t="n">
        <v>0.583333333333333</v>
      </c>
      <c r="M10" s="0" t="n">
        <v>0.583333333333333</v>
      </c>
      <c r="N10" s="0" t="n">
        <v>0.333333333333333</v>
      </c>
      <c r="O10" s="0" t="n">
        <v>0.333333333333333</v>
      </c>
      <c r="P10" s="0" t="n">
        <v>0.916666666666667</v>
      </c>
    </row>
    <row r="11" customFormat="false" ht="12.8" hidden="true" customHeight="false" outlineLevel="0" collapsed="false">
      <c r="B11" s="0" t="n">
        <v>5</v>
      </c>
      <c r="C11" s="0" t="n">
        <v>6</v>
      </c>
      <c r="D11" s="0" t="n">
        <v>2.1</v>
      </c>
      <c r="E11" s="0" t="n">
        <v>0.1</v>
      </c>
      <c r="F11" s="0" t="n">
        <v>0.1</v>
      </c>
      <c r="G11" s="0" t="n">
        <v>0.1</v>
      </c>
      <c r="H11" s="0" t="n">
        <v>0.1</v>
      </c>
      <c r="I11" s="0" t="n">
        <v>2.1</v>
      </c>
      <c r="J11" s="0" t="n">
        <v>0</v>
      </c>
      <c r="K11" s="0" t="n">
        <v>0.583333333333333</v>
      </c>
      <c r="L11" s="0" t="n">
        <v>0.166666666666667</v>
      </c>
      <c r="M11" s="0" t="n">
        <v>0.75</v>
      </c>
      <c r="N11" s="0" t="n">
        <v>0.333333333333333</v>
      </c>
      <c r="O11" s="0" t="n">
        <v>0.333333333333333</v>
      </c>
      <c r="P11" s="0" t="n">
        <v>0.916666666666667</v>
      </c>
    </row>
    <row r="12" customFormat="false" ht="12.8" hidden="false" customHeight="false" outlineLevel="0" collapsed="false">
      <c r="B12" s="0" t="n">
        <v>6</v>
      </c>
      <c r="C12" s="0" t="n">
        <v>6</v>
      </c>
      <c r="D12" s="0" t="n">
        <v>5.1</v>
      </c>
      <c r="E12" s="0" t="n">
        <v>0.1</v>
      </c>
      <c r="F12" s="0" t="n">
        <v>0.1</v>
      </c>
      <c r="G12" s="0" t="n">
        <v>0.1</v>
      </c>
      <c r="H12" s="0" t="n">
        <v>0.1</v>
      </c>
      <c r="I12" s="0" t="n">
        <v>0.1</v>
      </c>
      <c r="J12" s="0" t="n">
        <v>0</v>
      </c>
      <c r="K12" s="0" t="n">
        <v>0.583333333333333</v>
      </c>
      <c r="L12" s="0" t="n">
        <v>0.166666666666667</v>
      </c>
      <c r="M12" s="0" t="n">
        <v>0.75</v>
      </c>
      <c r="N12" s="0" t="n">
        <v>0.333333333333333</v>
      </c>
      <c r="O12" s="0" t="n">
        <v>0.333333333333333</v>
      </c>
      <c r="P12" s="0" t="n">
        <v>0.916666666666667</v>
      </c>
    </row>
    <row r="13" customFormat="false" ht="12.8" hidden="true" customHeight="false" outlineLevel="0" collapsed="false">
      <c r="B13" s="0" t="n">
        <v>7</v>
      </c>
      <c r="C13" s="0" t="n">
        <v>7</v>
      </c>
      <c r="D13" s="0" t="n">
        <v>2.1</v>
      </c>
      <c r="E13" s="0" t="n">
        <v>2.1</v>
      </c>
      <c r="F13" s="0" t="n">
        <v>0.1</v>
      </c>
      <c r="G13" s="0" t="n">
        <v>0.1</v>
      </c>
      <c r="H13" s="0" t="n">
        <v>0.1</v>
      </c>
      <c r="I13" s="0" t="n">
        <v>2.1</v>
      </c>
      <c r="J13" s="0" t="n">
        <v>0.416666666666667</v>
      </c>
      <c r="K13" s="0" t="n">
        <v>0</v>
      </c>
      <c r="L13" s="0" t="n">
        <v>0.583333333333333</v>
      </c>
      <c r="M13" s="0" t="n">
        <v>0.166666666666667</v>
      </c>
      <c r="N13" s="0" t="n">
        <v>0.75</v>
      </c>
      <c r="O13" s="0" t="n">
        <v>1.333</v>
      </c>
      <c r="P13" s="0" t="n">
        <v>0.916666666666667</v>
      </c>
    </row>
    <row r="14" customFormat="false" ht="12.8" hidden="false" customHeight="false" outlineLevel="0" collapsed="false">
      <c r="B14" s="0" t="n">
        <v>8</v>
      </c>
      <c r="C14" s="0" t="n">
        <v>7</v>
      </c>
      <c r="D14" s="0" t="n">
        <v>5.1</v>
      </c>
      <c r="E14" s="0" t="n">
        <v>2.1</v>
      </c>
      <c r="F14" s="0" t="n">
        <v>0.1</v>
      </c>
      <c r="G14" s="0" t="n">
        <v>0.1</v>
      </c>
      <c r="H14" s="0" t="n">
        <v>0.1</v>
      </c>
      <c r="I14" s="0" t="n">
        <v>0.1</v>
      </c>
      <c r="J14" s="0" t="n">
        <v>0.416666666666667</v>
      </c>
      <c r="K14" s="0" t="n">
        <v>0</v>
      </c>
      <c r="L14" s="0" t="n">
        <v>0.583333333333333</v>
      </c>
      <c r="M14" s="0" t="n">
        <v>0.166666666666667</v>
      </c>
      <c r="N14" s="0" t="n">
        <v>0.75</v>
      </c>
      <c r="O14" s="0" t="n">
        <v>1.333</v>
      </c>
      <c r="P14" s="0" t="n">
        <v>0.916666666666667</v>
      </c>
    </row>
    <row r="15" customFormat="false" ht="12.8" hidden="false" customHeight="false" outlineLevel="0" collapsed="false">
      <c r="B15" s="0" t="n">
        <v>9</v>
      </c>
      <c r="C15" s="0" t="n">
        <v>6</v>
      </c>
      <c r="D15" s="0" t="n">
        <v>1.1</v>
      </c>
      <c r="E15" s="0" t="n">
        <v>2.1</v>
      </c>
      <c r="F15" s="0" t="n">
        <v>1.1</v>
      </c>
      <c r="G15" s="0" t="n">
        <v>0.1</v>
      </c>
      <c r="H15" s="0" t="n">
        <v>0.1</v>
      </c>
      <c r="I15" s="0" t="n">
        <v>0.1</v>
      </c>
      <c r="J15" s="0" t="n">
        <v>0.416666666666667</v>
      </c>
      <c r="K15" s="0" t="n">
        <v>0</v>
      </c>
      <c r="L15" s="0" t="n">
        <v>0.583333333333333</v>
      </c>
      <c r="M15" s="0" t="n">
        <v>0.583333333333333</v>
      </c>
      <c r="N15" s="0" t="n">
        <v>0.75</v>
      </c>
      <c r="O15" s="0" t="n">
        <v>1.333</v>
      </c>
      <c r="P15" s="0" t="n">
        <v>0.916666666666667</v>
      </c>
    </row>
    <row r="16" customFormat="false" ht="12.8" hidden="true" customHeight="false" outlineLevel="0" collapsed="false">
      <c r="B16" s="0" t="n">
        <v>10</v>
      </c>
      <c r="C16" s="0" t="n">
        <v>4</v>
      </c>
      <c r="D16" s="0" t="n">
        <v>1.1</v>
      </c>
      <c r="E16" s="0" t="n">
        <v>0.1</v>
      </c>
      <c r="F16" s="0" t="n">
        <v>0.1</v>
      </c>
      <c r="G16" s="0" t="n">
        <v>0.1</v>
      </c>
      <c r="H16" s="0" t="n">
        <v>0.1</v>
      </c>
      <c r="I16" s="0" t="n">
        <v>2.1</v>
      </c>
      <c r="J16" s="0" t="n">
        <v>0</v>
      </c>
      <c r="K16" s="0" t="n">
        <v>0.583333333333333</v>
      </c>
      <c r="L16" s="0" t="n">
        <v>0.583333333333333</v>
      </c>
      <c r="M16" s="0" t="n">
        <v>0.75</v>
      </c>
      <c r="N16" s="0" t="n">
        <v>0.75</v>
      </c>
      <c r="O16" s="0" t="n">
        <v>0.75</v>
      </c>
      <c r="P16" s="0" t="n">
        <v>0.333333333333333</v>
      </c>
    </row>
    <row r="17" customFormat="false" ht="12.8" hidden="false" customHeight="false" outlineLevel="0" collapsed="false">
      <c r="B17" s="0" t="n">
        <v>11</v>
      </c>
      <c r="C17" s="0" t="n">
        <v>5</v>
      </c>
      <c r="D17" s="0" t="n">
        <v>4.1</v>
      </c>
      <c r="E17" s="0" t="n">
        <v>0.1</v>
      </c>
      <c r="F17" s="0" t="n">
        <v>0.1</v>
      </c>
      <c r="G17" s="0" t="n">
        <v>0.1</v>
      </c>
      <c r="H17" s="0" t="n">
        <v>0.1</v>
      </c>
      <c r="I17" s="0" t="n">
        <v>0.1</v>
      </c>
      <c r="J17" s="0" t="n">
        <v>0</v>
      </c>
      <c r="K17" s="0" t="n">
        <v>0.583333333333333</v>
      </c>
      <c r="L17" s="0" t="n">
        <v>0.583333333333333</v>
      </c>
      <c r="M17" s="0" t="n">
        <v>0.166666666666667</v>
      </c>
      <c r="N17" s="0" t="n">
        <v>0.75</v>
      </c>
      <c r="O17" s="0" t="n">
        <v>0.75</v>
      </c>
      <c r="P17" s="0" t="n">
        <v>0.333333333333333</v>
      </c>
    </row>
    <row r="18" customFormat="false" ht="12.8" hidden="true" customHeight="false" outlineLevel="0" collapsed="false">
      <c r="B18" s="0" t="n">
        <v>12</v>
      </c>
      <c r="C18" s="0" t="n">
        <v>6</v>
      </c>
      <c r="D18" s="0" t="n">
        <v>1.1</v>
      </c>
      <c r="E18" s="0" t="n">
        <v>2.1</v>
      </c>
      <c r="F18" s="0" t="n">
        <v>0.1</v>
      </c>
      <c r="G18" s="0" t="n">
        <v>0.1</v>
      </c>
      <c r="H18" s="0" t="n">
        <v>0.1</v>
      </c>
      <c r="I18" s="0" t="n">
        <v>2.1</v>
      </c>
      <c r="J18" s="0" t="n">
        <v>0.416666666666667</v>
      </c>
      <c r="K18" s="0" t="n">
        <v>0</v>
      </c>
      <c r="L18" s="0" t="n">
        <v>0.583333333333333</v>
      </c>
      <c r="M18" s="0" t="n">
        <v>0.166666666666667</v>
      </c>
      <c r="N18" s="0" t="n">
        <v>0.75</v>
      </c>
      <c r="O18" s="0" t="n">
        <v>0.75</v>
      </c>
      <c r="P18" s="0" t="n">
        <v>1.333</v>
      </c>
    </row>
    <row r="19" customFormat="false" ht="12.8" hidden="false" customHeight="false" outlineLevel="0" collapsed="false">
      <c r="B19" s="0" t="n">
        <v>13</v>
      </c>
      <c r="C19" s="0" t="n">
        <v>4</v>
      </c>
      <c r="D19" s="0" t="n">
        <v>0.1</v>
      </c>
      <c r="E19" s="0" t="n">
        <v>2.1</v>
      </c>
      <c r="F19" s="0" t="n">
        <v>1.1</v>
      </c>
      <c r="G19" s="0" t="n">
        <v>0.1</v>
      </c>
      <c r="H19" s="0" t="n">
        <v>0.1</v>
      </c>
      <c r="I19" s="0" t="n">
        <v>0.1</v>
      </c>
      <c r="J19" s="0" t="n">
        <v>0.416666666666667</v>
      </c>
      <c r="K19" s="0" t="n">
        <v>0</v>
      </c>
      <c r="L19" s="0" t="n">
        <v>0</v>
      </c>
      <c r="M19" s="0" t="n">
        <v>0.75</v>
      </c>
      <c r="N19" s="0" t="n">
        <v>0.75</v>
      </c>
      <c r="O19" s="0" t="n">
        <v>0.75</v>
      </c>
      <c r="P19" s="0" t="n">
        <v>1.333</v>
      </c>
    </row>
    <row r="20" customFormat="false" ht="12.8" hidden="false" customHeight="false" outlineLevel="0" collapsed="false">
      <c r="B20" s="0" t="n">
        <v>14</v>
      </c>
      <c r="C20" s="0" t="n">
        <v>6</v>
      </c>
      <c r="D20" s="0" t="n">
        <v>4.1</v>
      </c>
      <c r="E20" s="0" t="n">
        <v>2.1</v>
      </c>
      <c r="F20" s="0" t="n">
        <v>0.1</v>
      </c>
      <c r="G20" s="0" t="n">
        <v>0.1</v>
      </c>
      <c r="H20" s="0" t="n">
        <v>0.1</v>
      </c>
      <c r="I20" s="0" t="n">
        <v>0.1</v>
      </c>
      <c r="J20" s="0" t="n">
        <v>0.416666666666667</v>
      </c>
      <c r="K20" s="0" t="n">
        <v>0</v>
      </c>
      <c r="L20" s="0" t="n">
        <v>0.583333333333333</v>
      </c>
      <c r="M20" s="0" t="n">
        <v>0.166666666666667</v>
      </c>
      <c r="N20" s="0" t="n">
        <v>0.75</v>
      </c>
      <c r="O20" s="0" t="n">
        <v>0.75</v>
      </c>
      <c r="P20" s="0" t="n">
        <v>1.333</v>
      </c>
    </row>
    <row r="21" customFormat="false" ht="12.8" hidden="false" customHeight="false" outlineLevel="0" collapsed="false">
      <c r="B21" s="0" t="n">
        <v>15</v>
      </c>
      <c r="C21" s="0" t="n">
        <v>6</v>
      </c>
      <c r="D21" s="0" t="n">
        <v>3.1</v>
      </c>
      <c r="E21" s="0" t="n">
        <v>4.1</v>
      </c>
      <c r="F21" s="0" t="n">
        <v>0.1</v>
      </c>
      <c r="G21" s="0" t="n">
        <v>0.1</v>
      </c>
      <c r="H21" s="0" t="n">
        <v>0.1</v>
      </c>
      <c r="I21" s="0" t="n">
        <v>0.1</v>
      </c>
      <c r="J21" s="0" t="n">
        <v>0.833333333333333</v>
      </c>
      <c r="K21" s="0" t="n">
        <v>0</v>
      </c>
      <c r="L21" s="0" t="n">
        <v>0</v>
      </c>
      <c r="M21" s="0" t="n">
        <v>0.583333333333333</v>
      </c>
      <c r="N21" s="0" t="n">
        <v>0.166666666666667</v>
      </c>
      <c r="O21" s="0" t="n">
        <v>1.75</v>
      </c>
      <c r="P21" s="0" t="n">
        <v>0.333333333333333</v>
      </c>
    </row>
    <row r="22" customFormat="false" ht="12.8" hidden="false" customHeight="false" outlineLevel="0" collapsed="false">
      <c r="B22" s="0" t="n">
        <v>16</v>
      </c>
      <c r="C22" s="0" t="n">
        <v>6</v>
      </c>
      <c r="D22" s="0" t="n">
        <v>0.1</v>
      </c>
      <c r="E22" s="0" t="n">
        <v>4.1</v>
      </c>
      <c r="F22" s="0" t="n">
        <v>1.1</v>
      </c>
      <c r="G22" s="0" t="n">
        <v>0.1</v>
      </c>
      <c r="H22" s="0" t="n">
        <v>0.1</v>
      </c>
      <c r="I22" s="0" t="n">
        <v>0.1</v>
      </c>
      <c r="J22" s="0" t="n">
        <v>0.833333333333333</v>
      </c>
      <c r="K22" s="0" t="n">
        <v>0.416666666666667</v>
      </c>
      <c r="L22" s="0" t="n">
        <v>0</v>
      </c>
      <c r="M22" s="0" t="n">
        <v>0.166666666666667</v>
      </c>
      <c r="N22" s="0" t="n">
        <v>0.166666666666667</v>
      </c>
      <c r="O22" s="0" t="n">
        <v>1.75</v>
      </c>
      <c r="P22" s="0" t="n">
        <v>1.333</v>
      </c>
    </row>
    <row r="23" customFormat="false" ht="12.8" hidden="true" customHeight="false" outlineLevel="0" collapsed="false">
      <c r="B23" s="0" t="n">
        <v>17</v>
      </c>
      <c r="C23" s="0" t="n">
        <v>7</v>
      </c>
      <c r="D23" s="0" t="n">
        <v>1.1</v>
      </c>
      <c r="E23" s="0" t="n">
        <v>4.1</v>
      </c>
      <c r="F23" s="0" t="n">
        <v>0.1</v>
      </c>
      <c r="G23" s="0" t="n">
        <v>0.1</v>
      </c>
      <c r="H23" s="0" t="n">
        <v>0.1</v>
      </c>
      <c r="I23" s="0" t="n">
        <v>2.1</v>
      </c>
      <c r="J23" s="0" t="n">
        <v>0.833333333333333</v>
      </c>
      <c r="K23" s="0" t="n">
        <v>0.416666666666667</v>
      </c>
      <c r="L23" s="0" t="n">
        <v>0</v>
      </c>
      <c r="M23" s="0" t="n">
        <v>0.583333333333333</v>
      </c>
      <c r="N23" s="0" t="n">
        <v>0.166666666666667</v>
      </c>
      <c r="O23" s="0" t="n">
        <v>1.75</v>
      </c>
      <c r="P23" s="0" t="n">
        <v>1.333</v>
      </c>
    </row>
    <row r="24" customFormat="false" ht="12.8" hidden="false" customHeight="false" outlineLevel="0" collapsed="false">
      <c r="B24" s="0" t="n">
        <v>18</v>
      </c>
      <c r="C24" s="0" t="n">
        <v>7</v>
      </c>
      <c r="D24" s="0" t="n">
        <v>4.1</v>
      </c>
      <c r="E24" s="0" t="n">
        <v>4.1</v>
      </c>
      <c r="F24" s="0" t="n">
        <v>0.1</v>
      </c>
      <c r="G24" s="0" t="n">
        <v>0.1</v>
      </c>
      <c r="H24" s="0" t="n">
        <v>0.1</v>
      </c>
      <c r="I24" s="0" t="n">
        <v>0.1</v>
      </c>
      <c r="J24" s="0" t="n">
        <v>0.833333333333333</v>
      </c>
      <c r="K24" s="0" t="n">
        <v>0.416666666666667</v>
      </c>
      <c r="L24" s="0" t="n">
        <v>0</v>
      </c>
      <c r="M24" s="0" t="n">
        <v>0.583333333333333</v>
      </c>
      <c r="N24" s="0" t="n">
        <v>0.166666666666667</v>
      </c>
      <c r="O24" s="0" t="n">
        <v>1.75</v>
      </c>
      <c r="P24" s="0" t="n">
        <v>1.333</v>
      </c>
    </row>
    <row r="25" customFormat="false" ht="12.8" hidden="false" customHeight="false" outlineLevel="0" collapsed="false">
      <c r="B25" s="0" t="n">
        <v>19</v>
      </c>
      <c r="C25" s="0" t="n">
        <v>4</v>
      </c>
      <c r="D25" s="0" t="n">
        <v>3.1</v>
      </c>
      <c r="E25" s="0" t="n">
        <v>0.1</v>
      </c>
      <c r="F25" s="0" t="n">
        <v>0.1</v>
      </c>
      <c r="G25" s="0" t="n">
        <v>0.1</v>
      </c>
      <c r="H25" s="0" t="n">
        <v>0.1</v>
      </c>
      <c r="I25" s="0" t="n">
        <v>0.1</v>
      </c>
      <c r="J25" s="0" t="n">
        <v>0</v>
      </c>
      <c r="K25" s="0" t="n">
        <v>0</v>
      </c>
      <c r="L25" s="0" t="n">
        <v>0.583333333333333</v>
      </c>
      <c r="M25" s="0" t="n">
        <v>0.583333333333333</v>
      </c>
      <c r="N25" s="0" t="n">
        <v>0.166666666666667</v>
      </c>
      <c r="O25" s="0" t="n">
        <v>0.166666666666667</v>
      </c>
      <c r="P25" s="0" t="n">
        <v>0.75</v>
      </c>
    </row>
    <row r="26" customFormat="false" ht="12.8" hidden="false" customHeight="false" outlineLevel="0" collapsed="false">
      <c r="B26" s="0" t="n">
        <v>20</v>
      </c>
      <c r="C26" s="0" t="n">
        <v>5</v>
      </c>
      <c r="D26" s="0" t="n">
        <v>3.1</v>
      </c>
      <c r="E26" s="0" t="n">
        <v>2.1</v>
      </c>
      <c r="F26" s="0" t="n">
        <v>0.1</v>
      </c>
      <c r="G26" s="0" t="n">
        <v>0.1</v>
      </c>
      <c r="H26" s="0" t="n">
        <v>0.1</v>
      </c>
      <c r="I26" s="0" t="n">
        <v>0.1</v>
      </c>
      <c r="J26" s="0" t="n">
        <v>0.416666666666667</v>
      </c>
      <c r="K26" s="0" t="n">
        <v>0</v>
      </c>
      <c r="L26" s="0" t="n">
        <v>0</v>
      </c>
      <c r="M26" s="0" t="n">
        <v>0.583333333333333</v>
      </c>
      <c r="N26" s="0" t="n">
        <v>0.166666666666667</v>
      </c>
      <c r="O26" s="0" t="n">
        <v>0.166666666666667</v>
      </c>
      <c r="P26" s="0" t="n">
        <v>0.75</v>
      </c>
    </row>
    <row r="27" customFormat="false" ht="12.8" hidden="true" customHeight="false" outlineLevel="0" collapsed="false">
      <c r="B27" s="0" t="n">
        <v>21</v>
      </c>
      <c r="C27" s="0" t="n">
        <v>4</v>
      </c>
      <c r="D27" s="0" t="n">
        <v>0.1</v>
      </c>
      <c r="E27" s="0" t="n">
        <v>2.1</v>
      </c>
      <c r="F27" s="0" t="n">
        <v>0.1</v>
      </c>
      <c r="G27" s="0" t="n">
        <v>0.1</v>
      </c>
      <c r="H27" s="0" t="n">
        <v>0.1</v>
      </c>
      <c r="I27" s="0" t="n">
        <v>2.1</v>
      </c>
      <c r="J27" s="0" t="n">
        <v>0.416666666666667</v>
      </c>
      <c r="K27" s="0" t="n">
        <v>0.416666666666667</v>
      </c>
      <c r="L27" s="0" t="n">
        <v>0</v>
      </c>
      <c r="M27" s="0" t="n">
        <v>0</v>
      </c>
      <c r="N27" s="0" t="n">
        <v>0.166666666666667</v>
      </c>
      <c r="O27" s="0" t="n">
        <v>0.166666666666667</v>
      </c>
      <c r="P27" s="0" t="n">
        <v>0.75</v>
      </c>
    </row>
    <row r="28" customFormat="false" ht="12.8" hidden="true" customHeight="false" outlineLevel="0" collapsed="false">
      <c r="B28" s="0" t="n">
        <v>22</v>
      </c>
      <c r="C28" s="0" t="n">
        <v>6</v>
      </c>
      <c r="D28" s="0" t="n">
        <v>0.1</v>
      </c>
      <c r="E28" s="0" t="n">
        <v>4.1</v>
      </c>
      <c r="F28" s="0" t="n">
        <v>0.1</v>
      </c>
      <c r="G28" s="0" t="n">
        <v>0.1</v>
      </c>
      <c r="H28" s="0" t="n">
        <v>0.1</v>
      </c>
      <c r="I28" s="0" t="n">
        <v>2.1</v>
      </c>
      <c r="J28" s="0" t="n">
        <v>0.833333333333333</v>
      </c>
      <c r="K28" s="0" t="n">
        <v>0.416666666666667</v>
      </c>
      <c r="L28" s="0" t="n">
        <v>0</v>
      </c>
      <c r="M28" s="0" t="n">
        <v>0.583333333333333</v>
      </c>
      <c r="N28" s="0" t="n">
        <v>0.166666666666667</v>
      </c>
      <c r="O28" s="0" t="n">
        <v>0.166666666666667</v>
      </c>
      <c r="P28" s="0" t="n">
        <v>1.75</v>
      </c>
    </row>
    <row r="29" customFormat="false" ht="12.8" hidden="true" customHeight="false" outlineLevel="0" collapsed="false">
      <c r="B29" s="0" t="n">
        <v>23</v>
      </c>
      <c r="C29" s="0" t="n">
        <v>7</v>
      </c>
      <c r="D29" s="0" t="n">
        <v>0.1</v>
      </c>
      <c r="E29" s="0" t="n">
        <v>6.1</v>
      </c>
      <c r="F29" s="0" t="n">
        <v>0.1</v>
      </c>
      <c r="G29" s="0" t="n">
        <v>0.1</v>
      </c>
      <c r="H29" s="0" t="n">
        <v>0.1</v>
      </c>
      <c r="I29" s="0" t="n">
        <v>2.1</v>
      </c>
      <c r="J29" s="0" t="n">
        <v>0.25</v>
      </c>
      <c r="K29" s="0" t="n">
        <v>0.833333333333333</v>
      </c>
      <c r="L29" s="0" t="n">
        <v>0.416666666666667</v>
      </c>
      <c r="M29" s="0" t="n">
        <v>0</v>
      </c>
      <c r="N29" s="0" t="n">
        <v>0.583333333333333</v>
      </c>
      <c r="O29" s="0" t="n">
        <v>1.167</v>
      </c>
      <c r="P29" s="0" t="n">
        <v>1.75</v>
      </c>
    </row>
    <row r="30" customFormat="false" ht="12.8" hidden="true" customHeight="false" outlineLevel="0" collapsed="false">
      <c r="B30" s="0" t="n">
        <v>24</v>
      </c>
      <c r="C30" s="0" t="n">
        <v>7</v>
      </c>
      <c r="D30" s="0" t="n">
        <v>3.1</v>
      </c>
      <c r="E30" s="0" t="n">
        <v>0.1</v>
      </c>
      <c r="F30" s="0" t="n">
        <v>0.1</v>
      </c>
      <c r="G30" s="0" t="n">
        <v>0.1</v>
      </c>
      <c r="H30" s="0" t="n">
        <v>1.1</v>
      </c>
      <c r="I30" s="0" t="n">
        <v>0.1</v>
      </c>
      <c r="J30" s="0" t="n">
        <v>0.25</v>
      </c>
      <c r="K30" s="0" t="n">
        <v>0.833333333333333</v>
      </c>
      <c r="L30" s="0" t="n">
        <v>0.416666666666667</v>
      </c>
      <c r="M30" s="0" t="n">
        <v>0</v>
      </c>
      <c r="N30" s="0" t="n">
        <v>0.583333333333333</v>
      </c>
      <c r="O30" s="0" t="n">
        <v>1.167</v>
      </c>
      <c r="P30" s="0" t="n">
        <v>1.75</v>
      </c>
    </row>
    <row r="31" customFormat="false" ht="12.8" hidden="false" customHeight="false" outlineLevel="0" collapsed="false">
      <c r="B31" s="0" t="n">
        <v>25</v>
      </c>
      <c r="C31" s="0" t="n">
        <v>7</v>
      </c>
      <c r="D31" s="0" t="n">
        <v>3.1</v>
      </c>
      <c r="E31" s="0" t="n">
        <v>6.1</v>
      </c>
      <c r="F31" s="0" t="n">
        <v>0.1</v>
      </c>
      <c r="G31" s="0" t="n">
        <v>0.1</v>
      </c>
      <c r="H31" s="0" t="n">
        <v>0.1</v>
      </c>
      <c r="I31" s="0" t="n">
        <v>0.1</v>
      </c>
      <c r="J31" s="0" t="n">
        <v>0.25</v>
      </c>
      <c r="K31" s="0" t="n">
        <v>0.833333333333333</v>
      </c>
      <c r="L31" s="0" t="n">
        <v>0.416666666666667</v>
      </c>
      <c r="M31" s="0" t="n">
        <v>0</v>
      </c>
      <c r="N31" s="0" t="n">
        <v>0.583333333333333</v>
      </c>
      <c r="O31" s="0" t="n">
        <v>1.167</v>
      </c>
      <c r="P31" s="0" t="n">
        <v>1.75</v>
      </c>
    </row>
    <row r="32" customFormat="false" ht="12.8" hidden="false" customHeight="false" outlineLevel="0" collapsed="false">
      <c r="B32" s="0" t="n">
        <v>26</v>
      </c>
      <c r="C32" s="0" t="n">
        <v>3</v>
      </c>
      <c r="D32" s="0" t="n">
        <v>2.1</v>
      </c>
      <c r="E32" s="0" t="n">
        <v>0.1</v>
      </c>
      <c r="F32" s="0" t="n">
        <v>0.1</v>
      </c>
      <c r="G32" s="0" t="n">
        <v>0.1</v>
      </c>
      <c r="H32" s="0" t="n">
        <v>0.1</v>
      </c>
      <c r="I32" s="0" t="n">
        <v>0.1</v>
      </c>
      <c r="J32" s="0" t="n">
        <v>0</v>
      </c>
      <c r="K32" s="0" t="n">
        <v>0</v>
      </c>
      <c r="L32" s="0" t="n">
        <v>0.583333333333333</v>
      </c>
      <c r="M32" s="0" t="n">
        <v>0.583333333333333</v>
      </c>
      <c r="N32" s="0" t="n">
        <v>0.583333333333333</v>
      </c>
      <c r="O32" s="0" t="n">
        <v>0.166666666666667</v>
      </c>
      <c r="P32" s="0" t="n">
        <v>0.166666666666667</v>
      </c>
    </row>
    <row r="33" customFormat="false" ht="12.8" hidden="false" customHeight="false" outlineLevel="0" collapsed="false">
      <c r="B33" s="0" t="n">
        <v>27</v>
      </c>
      <c r="C33" s="0" t="n">
        <v>4</v>
      </c>
      <c r="D33" s="0" t="n">
        <v>2.1</v>
      </c>
      <c r="E33" s="0" t="n">
        <v>2.1</v>
      </c>
      <c r="F33" s="0" t="n">
        <v>0.1</v>
      </c>
      <c r="G33" s="0" t="n">
        <v>0.1</v>
      </c>
      <c r="H33" s="0" t="n">
        <v>0.1</v>
      </c>
      <c r="I33" s="0" t="n">
        <v>0.1</v>
      </c>
      <c r="J33" s="0" t="n">
        <v>0.416666666666667</v>
      </c>
      <c r="K33" s="0" t="n">
        <v>0</v>
      </c>
      <c r="L33" s="0" t="n">
        <v>0</v>
      </c>
      <c r="M33" s="0" t="n">
        <v>0.583333333333333</v>
      </c>
      <c r="N33" s="0" t="n">
        <v>0.583333333333333</v>
      </c>
      <c r="O33" s="0" t="n">
        <v>0.166666666666667</v>
      </c>
      <c r="P33" s="0" t="n">
        <v>0.166666666666667</v>
      </c>
    </row>
    <row r="34" customFormat="false" ht="12.8" hidden="false" customHeight="false" outlineLevel="0" collapsed="false">
      <c r="B34" s="0" t="n">
        <v>28</v>
      </c>
      <c r="C34" s="0" t="n">
        <v>5</v>
      </c>
      <c r="D34" s="0" t="n">
        <v>2.1</v>
      </c>
      <c r="E34" s="0" t="n">
        <v>4.1</v>
      </c>
      <c r="F34" s="0" t="n">
        <v>0.1</v>
      </c>
      <c r="G34" s="0" t="n">
        <v>0.1</v>
      </c>
      <c r="H34" s="0" t="n">
        <v>0.1</v>
      </c>
      <c r="I34" s="0" t="n">
        <v>0.1</v>
      </c>
      <c r="J34" s="0" t="n">
        <v>0.833333333333333</v>
      </c>
      <c r="K34" s="0" t="n">
        <v>0.416666666666667</v>
      </c>
      <c r="L34" s="0" t="n">
        <v>0.416666666666667</v>
      </c>
      <c r="M34" s="0" t="n">
        <v>0</v>
      </c>
      <c r="N34" s="0" t="n">
        <v>0.583333333333333</v>
      </c>
      <c r="O34" s="0" t="n">
        <v>0.583333333333333</v>
      </c>
      <c r="P34" s="0" t="n">
        <v>0.166666666666667</v>
      </c>
    </row>
    <row r="35" customFormat="false" ht="12.8" hidden="false" customHeight="false" outlineLevel="0" collapsed="false">
      <c r="B35" s="0" t="n">
        <v>29</v>
      </c>
      <c r="C35" s="0" t="n">
        <v>6</v>
      </c>
      <c r="D35" s="0" t="n">
        <v>2.1</v>
      </c>
      <c r="E35" s="0" t="n">
        <v>6.1</v>
      </c>
      <c r="F35" s="0" t="n">
        <v>0.1</v>
      </c>
      <c r="G35" s="0" t="n">
        <v>0.1</v>
      </c>
      <c r="H35" s="0" t="n">
        <v>0.1</v>
      </c>
      <c r="I35" s="0" t="n">
        <v>0.1</v>
      </c>
      <c r="J35" s="0" t="n">
        <v>0.25</v>
      </c>
      <c r="K35" s="0" t="n">
        <v>0.833333333333333</v>
      </c>
      <c r="L35" s="0" t="n">
        <v>0.416666666666667</v>
      </c>
      <c r="M35" s="0" t="n">
        <v>0</v>
      </c>
      <c r="N35" s="0" t="n">
        <v>0.583333333333333</v>
      </c>
      <c r="O35" s="0" t="n">
        <v>0.583333333333333</v>
      </c>
      <c r="P35" s="0" t="n">
        <v>1.167</v>
      </c>
    </row>
    <row r="36" customFormat="false" ht="12.8" hidden="true" customHeight="false" outlineLevel="0" collapsed="false">
      <c r="B36" s="0" t="n">
        <v>30</v>
      </c>
      <c r="C36" s="0" t="n">
        <v>6</v>
      </c>
      <c r="D36" s="0" t="n">
        <v>2.1</v>
      </c>
      <c r="E36" s="0" t="n">
        <v>0.1</v>
      </c>
      <c r="F36" s="0" t="n">
        <v>0.1</v>
      </c>
      <c r="G36" s="0" t="n">
        <v>0.1</v>
      </c>
      <c r="H36" s="0" t="n">
        <v>1.1</v>
      </c>
      <c r="I36" s="0" t="n">
        <v>0.1</v>
      </c>
      <c r="J36" s="0" t="n">
        <v>0.25</v>
      </c>
      <c r="K36" s="0" t="n">
        <v>0.833333333333333</v>
      </c>
      <c r="L36" s="0" t="n">
        <v>0.416666666666667</v>
      </c>
      <c r="M36" s="0" t="n">
        <v>0</v>
      </c>
      <c r="N36" s="0" t="n">
        <v>0.583333333333333</v>
      </c>
      <c r="O36" s="0" t="n">
        <v>0.583333333333333</v>
      </c>
      <c r="P36" s="0" t="n">
        <v>1.167</v>
      </c>
    </row>
    <row r="37" customFormat="false" ht="12.8" hidden="false" customHeight="false" outlineLevel="0" collapsed="false">
      <c r="B37" s="0" t="n">
        <v>31</v>
      </c>
      <c r="C37" s="0" t="n">
        <v>7</v>
      </c>
      <c r="D37" s="0" t="n">
        <v>2.1</v>
      </c>
      <c r="E37" s="0" t="n">
        <v>8.1</v>
      </c>
      <c r="F37" s="0" t="n">
        <v>0.1</v>
      </c>
      <c r="G37" s="0" t="n">
        <v>0.1</v>
      </c>
      <c r="H37" s="0" t="n">
        <v>0.1</v>
      </c>
      <c r="I37" s="0" t="n">
        <v>0.1</v>
      </c>
      <c r="J37" s="0" t="n">
        <v>0.666666666666667</v>
      </c>
      <c r="K37" s="0" t="n">
        <v>0.25</v>
      </c>
      <c r="L37" s="0" t="n">
        <v>0.833333333333333</v>
      </c>
      <c r="M37" s="0" t="n">
        <v>0.416666666666667</v>
      </c>
      <c r="N37" s="0" t="n">
        <v>0</v>
      </c>
      <c r="O37" s="0" t="n">
        <v>1.583</v>
      </c>
      <c r="P37" s="0" t="n">
        <v>1.167</v>
      </c>
    </row>
    <row r="38" customFormat="false" ht="12.8" hidden="true" customHeight="false" outlineLevel="0" collapsed="false">
      <c r="B38" s="0" t="n">
        <v>32</v>
      </c>
      <c r="C38" s="0" t="n">
        <v>7</v>
      </c>
      <c r="D38" s="0" t="n">
        <v>2.1</v>
      </c>
      <c r="E38" s="0" t="n">
        <v>2.1</v>
      </c>
      <c r="F38" s="0" t="n">
        <v>0.1</v>
      </c>
      <c r="G38" s="0" t="n">
        <v>0.1</v>
      </c>
      <c r="H38" s="0" t="n">
        <v>1.1</v>
      </c>
      <c r="I38" s="0" t="n">
        <v>0.1</v>
      </c>
      <c r="J38" s="0" t="n">
        <v>0.666666666666667</v>
      </c>
      <c r="K38" s="0" t="n">
        <v>0.25</v>
      </c>
      <c r="L38" s="0" t="n">
        <v>0.833333333333333</v>
      </c>
      <c r="M38" s="0" t="n">
        <v>0.416666666666667</v>
      </c>
      <c r="N38" s="0" t="n">
        <v>0</v>
      </c>
      <c r="O38" s="0" t="n">
        <v>1.583</v>
      </c>
      <c r="P38" s="0" t="n">
        <v>1.167</v>
      </c>
    </row>
    <row r="39" customFormat="false" ht="12.8" hidden="false" customHeight="false" outlineLevel="0" collapsed="false">
      <c r="B39" s="0" t="n">
        <v>33</v>
      </c>
      <c r="C39" s="0" t="n">
        <v>6</v>
      </c>
      <c r="D39" s="0" t="n">
        <v>2.1</v>
      </c>
      <c r="E39" s="0" t="n">
        <v>0.1</v>
      </c>
      <c r="F39" s="0" t="n">
        <v>0.1</v>
      </c>
      <c r="G39" s="0" t="n">
        <v>2.1</v>
      </c>
      <c r="H39" s="0" t="n">
        <v>0.1</v>
      </c>
      <c r="I39" s="0" t="n">
        <v>0.1</v>
      </c>
      <c r="J39" s="0" t="n">
        <v>0.666666666666667</v>
      </c>
      <c r="K39" s="0" t="n">
        <v>0.25</v>
      </c>
      <c r="L39" s="0" t="n">
        <v>0.833333333333333</v>
      </c>
      <c r="M39" s="0" t="n">
        <v>0</v>
      </c>
      <c r="N39" s="0" t="n">
        <v>0</v>
      </c>
      <c r="O39" s="0" t="n">
        <v>1.583</v>
      </c>
      <c r="P39" s="0" t="n">
        <v>1.167</v>
      </c>
    </row>
    <row r="40" customFormat="false" ht="12.8" hidden="false" customHeight="false" outlineLevel="0" collapsed="false">
      <c r="B40" s="0" t="n">
        <v>34</v>
      </c>
      <c r="C40" s="0" t="n">
        <v>2</v>
      </c>
      <c r="D40" s="0" t="n">
        <v>1.1</v>
      </c>
      <c r="E40" s="0" t="n">
        <v>0.1</v>
      </c>
      <c r="F40" s="0" t="n">
        <v>0.1</v>
      </c>
      <c r="G40" s="0" t="n">
        <v>0.1</v>
      </c>
      <c r="H40" s="0" t="n">
        <v>0.1</v>
      </c>
      <c r="I40" s="0" t="n">
        <v>0.1</v>
      </c>
      <c r="J40" s="0" t="n">
        <v>0</v>
      </c>
      <c r="K40" s="0" t="n">
        <v>0</v>
      </c>
      <c r="L40" s="0" t="n">
        <v>0</v>
      </c>
      <c r="M40" s="0" t="n">
        <v>0.583333333333333</v>
      </c>
      <c r="N40" s="0" t="n">
        <v>0.583333333333333</v>
      </c>
      <c r="O40" s="0" t="n">
        <v>0.583333333333333</v>
      </c>
      <c r="P40" s="0" t="n">
        <v>0.583333333333333</v>
      </c>
    </row>
    <row r="41" customFormat="false" ht="12.8" hidden="false" customHeight="false" outlineLevel="0" collapsed="false">
      <c r="B41" s="0" t="n">
        <v>35</v>
      </c>
      <c r="C41" s="0" t="n">
        <v>3</v>
      </c>
      <c r="D41" s="0" t="n">
        <v>1.1</v>
      </c>
      <c r="E41" s="0" t="n">
        <v>2.1</v>
      </c>
      <c r="F41" s="0" t="n">
        <v>0.1</v>
      </c>
      <c r="G41" s="0" t="n">
        <v>0.1</v>
      </c>
      <c r="H41" s="0" t="n">
        <v>0.1</v>
      </c>
      <c r="I41" s="0" t="n">
        <v>0.1</v>
      </c>
      <c r="J41" s="0" t="n">
        <v>0.416666666666667</v>
      </c>
      <c r="K41" s="0" t="n">
        <v>0.416666666666667</v>
      </c>
      <c r="L41" s="0" t="n">
        <v>0</v>
      </c>
      <c r="M41" s="0" t="n">
        <v>0</v>
      </c>
      <c r="N41" s="0" t="n">
        <v>0</v>
      </c>
      <c r="O41" s="0" t="n">
        <v>0.583333333333333</v>
      </c>
      <c r="P41" s="0" t="n">
        <v>0.583333333333333</v>
      </c>
    </row>
    <row r="42" customFormat="false" ht="12.8" hidden="false" customHeight="false" outlineLevel="0" collapsed="false">
      <c r="B42" s="0" t="n">
        <v>36</v>
      </c>
      <c r="C42" s="0" t="n">
        <v>4</v>
      </c>
      <c r="D42" s="0" t="n">
        <v>1.1</v>
      </c>
      <c r="E42" s="0" t="n">
        <v>4.1</v>
      </c>
      <c r="F42" s="0" t="n">
        <v>0.1</v>
      </c>
      <c r="G42" s="0" t="n">
        <v>0.1</v>
      </c>
      <c r="H42" s="0" t="n">
        <v>0.1</v>
      </c>
      <c r="I42" s="0" t="n">
        <v>0.1</v>
      </c>
      <c r="J42" s="0" t="n">
        <v>0.833333333333333</v>
      </c>
      <c r="K42" s="0" t="n">
        <v>0.833333333333333</v>
      </c>
      <c r="L42" s="0" t="n">
        <v>0.416666666666667</v>
      </c>
      <c r="M42" s="0" t="n">
        <v>0.416666666666667</v>
      </c>
      <c r="N42" s="0" t="n">
        <v>0</v>
      </c>
      <c r="O42" s="0" t="n">
        <v>0</v>
      </c>
      <c r="P42" s="0" t="n">
        <v>0.583333333333333</v>
      </c>
    </row>
    <row r="43" customFormat="false" ht="12.8" hidden="false" customHeight="false" outlineLevel="0" collapsed="false">
      <c r="B43" s="0" t="n">
        <v>37</v>
      </c>
      <c r="C43" s="0" t="n">
        <v>5</v>
      </c>
      <c r="D43" s="0" t="n">
        <v>1.1</v>
      </c>
      <c r="E43" s="0" t="n">
        <v>6.1</v>
      </c>
      <c r="F43" s="0" t="n">
        <v>0.1</v>
      </c>
      <c r="G43" s="0" t="n">
        <v>0.1</v>
      </c>
      <c r="H43" s="0" t="n">
        <v>0.1</v>
      </c>
      <c r="I43" s="0" t="n">
        <v>0.1</v>
      </c>
      <c r="J43" s="0" t="n">
        <v>0.25</v>
      </c>
      <c r="K43" s="0" t="n">
        <v>0.833333333333333</v>
      </c>
      <c r="L43" s="0" t="n">
        <v>0.833333333333333</v>
      </c>
      <c r="M43" s="0" t="n">
        <v>0.416666666666667</v>
      </c>
      <c r="N43" s="0" t="n">
        <v>0</v>
      </c>
      <c r="O43" s="0" t="n">
        <v>0</v>
      </c>
      <c r="P43" s="0" t="n">
        <v>0.583333333333333</v>
      </c>
    </row>
    <row r="44" customFormat="false" ht="12.8" hidden="true" customHeight="false" outlineLevel="0" collapsed="false">
      <c r="B44" s="0" t="n">
        <v>38</v>
      </c>
      <c r="C44" s="0" t="n">
        <v>4</v>
      </c>
      <c r="D44" s="0" t="n">
        <v>1.1</v>
      </c>
      <c r="E44" s="0" t="n">
        <v>0.1</v>
      </c>
      <c r="F44" s="0" t="n">
        <v>0.1</v>
      </c>
      <c r="G44" s="0" t="n">
        <v>0.1</v>
      </c>
      <c r="H44" s="0" t="n">
        <v>1.1</v>
      </c>
      <c r="I44" s="0" t="n">
        <v>0.1</v>
      </c>
      <c r="J44" s="0" t="n">
        <v>0.25</v>
      </c>
      <c r="K44" s="0" t="n">
        <v>0.25</v>
      </c>
      <c r="L44" s="0" t="n">
        <v>0.833333333333333</v>
      </c>
      <c r="M44" s="0" t="n">
        <v>0.833333333333333</v>
      </c>
      <c r="N44" s="0" t="n">
        <v>0</v>
      </c>
      <c r="O44" s="0" t="n">
        <v>0</v>
      </c>
      <c r="P44" s="0" t="n">
        <v>0.583333333333333</v>
      </c>
    </row>
    <row r="45" customFormat="false" ht="12.8" hidden="false" customHeight="false" outlineLevel="0" collapsed="false">
      <c r="B45" s="0" t="n">
        <v>39</v>
      </c>
      <c r="C45" s="0" t="n">
        <v>6</v>
      </c>
      <c r="D45" s="0" t="n">
        <v>1.1</v>
      </c>
      <c r="E45" s="0" t="n">
        <v>8.1</v>
      </c>
      <c r="F45" s="0" t="n">
        <v>0.1</v>
      </c>
      <c r="G45" s="0" t="n">
        <v>0.1</v>
      </c>
      <c r="H45" s="0" t="n">
        <v>0.1</v>
      </c>
      <c r="I45" s="0" t="n">
        <v>0.1</v>
      </c>
      <c r="J45" s="0" t="n">
        <v>0.666666666666667</v>
      </c>
      <c r="K45" s="0" t="n">
        <v>0.25</v>
      </c>
      <c r="L45" s="0" t="n">
        <v>0.833333333333333</v>
      </c>
      <c r="M45" s="0" t="n">
        <v>0.416666666666667</v>
      </c>
      <c r="N45" s="0" t="n">
        <v>0</v>
      </c>
      <c r="O45" s="0" t="n">
        <v>1.583</v>
      </c>
      <c r="P45" s="0" t="n">
        <v>1.583</v>
      </c>
    </row>
    <row r="46" customFormat="false" ht="12.8" hidden="false" customHeight="false" outlineLevel="0" collapsed="false">
      <c r="B46" s="0" t="n">
        <v>40</v>
      </c>
      <c r="C46" s="0" t="n">
        <v>4</v>
      </c>
      <c r="D46" s="0" t="n">
        <v>1.1</v>
      </c>
      <c r="E46" s="0" t="n">
        <v>0.1</v>
      </c>
      <c r="F46" s="0" t="n">
        <v>0.1</v>
      </c>
      <c r="G46" s="0" t="n">
        <v>2.1</v>
      </c>
      <c r="H46" s="0" t="n">
        <v>0.1</v>
      </c>
      <c r="I46" s="0" t="n">
        <v>0.1</v>
      </c>
      <c r="J46" s="0" t="n">
        <v>0.666666666666667</v>
      </c>
      <c r="K46" s="0" t="n">
        <v>0.666666666666667</v>
      </c>
      <c r="L46" s="0" t="n">
        <v>0.25</v>
      </c>
      <c r="M46" s="0" t="n">
        <v>0.25</v>
      </c>
      <c r="N46" s="0" t="n">
        <v>0</v>
      </c>
      <c r="O46" s="0" t="n">
        <v>0</v>
      </c>
      <c r="P46" s="0" t="n">
        <v>1.583</v>
      </c>
    </row>
    <row r="47" customFormat="false" ht="12.8" hidden="true" customHeight="false" outlineLevel="0" collapsed="false">
      <c r="B47" s="0" t="n">
        <v>41</v>
      </c>
      <c r="C47" s="0" t="n">
        <v>6</v>
      </c>
      <c r="D47" s="0" t="n">
        <v>1.1</v>
      </c>
      <c r="E47" s="0" t="n">
        <v>2.1</v>
      </c>
      <c r="F47" s="0" t="n">
        <v>0.1</v>
      </c>
      <c r="G47" s="0" t="n">
        <v>0.1</v>
      </c>
      <c r="H47" s="0" t="n">
        <v>1.1</v>
      </c>
      <c r="I47" s="0" t="n">
        <v>0.1</v>
      </c>
      <c r="J47" s="0" t="n">
        <v>0.666666666666667</v>
      </c>
      <c r="K47" s="0" t="n">
        <v>0.25</v>
      </c>
      <c r="L47" s="0" t="n">
        <v>0.833333333333333</v>
      </c>
      <c r="M47" s="0" t="n">
        <v>0.416666666666667</v>
      </c>
      <c r="N47" s="0" t="n">
        <v>0</v>
      </c>
      <c r="O47" s="0" t="n">
        <v>0</v>
      </c>
      <c r="P47" s="0" t="n">
        <v>1.583</v>
      </c>
    </row>
    <row r="48" customFormat="false" ht="12.8" hidden="false" customHeight="false" outlineLevel="0" collapsed="false">
      <c r="B48" s="0" t="n">
        <v>42</v>
      </c>
      <c r="C48" s="0" t="n">
        <v>7</v>
      </c>
      <c r="D48" s="0" t="n">
        <v>1.1</v>
      </c>
      <c r="E48" s="0" t="n">
        <v>10.1</v>
      </c>
      <c r="F48" s="0" t="n">
        <v>0.1</v>
      </c>
      <c r="G48" s="0" t="n">
        <v>0.1</v>
      </c>
      <c r="H48" s="0" t="n">
        <v>0.1</v>
      </c>
      <c r="I48" s="0" t="n">
        <v>0.1</v>
      </c>
      <c r="J48" s="0" t="n">
        <v>0.0833333333333333</v>
      </c>
      <c r="K48" s="0" t="n">
        <v>0.666666666666667</v>
      </c>
      <c r="L48" s="0" t="n">
        <v>0.25</v>
      </c>
      <c r="M48" s="0" t="n">
        <v>0.833333333333333</v>
      </c>
      <c r="N48" s="0" t="n">
        <v>0.416666666666667</v>
      </c>
      <c r="O48" s="0" t="n">
        <v>1</v>
      </c>
      <c r="P48" s="0" t="n">
        <v>1.583</v>
      </c>
    </row>
    <row r="49" customFormat="false" ht="12.8" hidden="false" customHeight="false" outlineLevel="0" collapsed="false">
      <c r="B49" s="0" t="n">
        <v>43</v>
      </c>
      <c r="C49" s="0" t="n">
        <v>6</v>
      </c>
      <c r="D49" s="0" t="n">
        <v>1.1</v>
      </c>
      <c r="E49" s="0" t="n">
        <v>2.1</v>
      </c>
      <c r="F49" s="0" t="n">
        <v>0.1</v>
      </c>
      <c r="G49" s="0" t="n">
        <v>2.1</v>
      </c>
      <c r="H49" s="0" t="n">
        <v>0.1</v>
      </c>
      <c r="I49" s="0" t="n">
        <v>0.1</v>
      </c>
      <c r="J49" s="0" t="n">
        <v>0.0833333333333333</v>
      </c>
      <c r="K49" s="0" t="n">
        <v>0.666666666666667</v>
      </c>
      <c r="L49" s="0" t="n">
        <v>0.25</v>
      </c>
      <c r="M49" s="0" t="n">
        <v>0.416666666666667</v>
      </c>
      <c r="N49" s="0" t="n">
        <v>0.416666666666667</v>
      </c>
      <c r="O49" s="0" t="n">
        <v>1</v>
      </c>
      <c r="P49" s="0" t="n">
        <v>1.583</v>
      </c>
    </row>
    <row r="50" customFormat="false" ht="12.8" hidden="true" customHeight="false" outlineLevel="0" collapsed="false">
      <c r="B50" s="0" t="n">
        <v>44</v>
      </c>
      <c r="C50" s="0" t="n">
        <v>7</v>
      </c>
      <c r="D50" s="0" t="n">
        <v>1.1</v>
      </c>
      <c r="E50" s="0" t="n">
        <v>4.1</v>
      </c>
      <c r="F50" s="0" t="n">
        <v>0.1</v>
      </c>
      <c r="G50" s="0" t="n">
        <v>0.1</v>
      </c>
      <c r="H50" s="0" t="n">
        <v>1.1</v>
      </c>
      <c r="I50" s="0" t="n">
        <v>0.1</v>
      </c>
      <c r="J50" s="0" t="n">
        <v>0.0833333333333333</v>
      </c>
      <c r="K50" s="0" t="n">
        <v>0.666666666666667</v>
      </c>
      <c r="L50" s="0" t="n">
        <v>0.25</v>
      </c>
      <c r="M50" s="0" t="n">
        <v>0.833333333333333</v>
      </c>
      <c r="N50" s="0" t="n">
        <v>0.416666666666667</v>
      </c>
      <c r="O50" s="0" t="n">
        <v>1</v>
      </c>
      <c r="P50" s="0" t="n">
        <v>1.583</v>
      </c>
    </row>
    <row r="51" customFormat="false" ht="12.8" hidden="false" customHeight="false" outlineLevel="0" collapsed="false">
      <c r="B51" s="0" t="n">
        <v>45</v>
      </c>
      <c r="C51" s="0" t="n">
        <v>2</v>
      </c>
      <c r="D51" s="0" t="n">
        <v>0.1</v>
      </c>
      <c r="E51" s="0" t="n">
        <v>2.1</v>
      </c>
      <c r="F51" s="0" t="n">
        <v>0.1</v>
      </c>
      <c r="G51" s="0" t="n">
        <v>0.1</v>
      </c>
      <c r="H51" s="0" t="n">
        <v>0.1</v>
      </c>
      <c r="I51" s="0" t="n">
        <v>0.1</v>
      </c>
      <c r="J51" s="0" t="n">
        <v>0.416666666666667</v>
      </c>
      <c r="K51" s="0" t="n">
        <v>0.416666666666667</v>
      </c>
      <c r="L51" s="0" t="n">
        <v>0.416666666666667</v>
      </c>
      <c r="M51" s="0" t="n">
        <v>0.416666666666667</v>
      </c>
      <c r="N51" s="0" t="n">
        <v>0</v>
      </c>
      <c r="O51" s="0" t="n">
        <v>0</v>
      </c>
      <c r="P51" s="0" t="n">
        <v>0</v>
      </c>
    </row>
    <row r="52" customFormat="false" ht="12.8" hidden="false" customHeight="false" outlineLevel="0" collapsed="false">
      <c r="B52" s="0" t="n">
        <v>46</v>
      </c>
      <c r="C52" s="0" t="n">
        <v>3</v>
      </c>
      <c r="D52" s="0" t="n">
        <v>0.1</v>
      </c>
      <c r="E52" s="0" t="n">
        <v>4.1</v>
      </c>
      <c r="F52" s="0" t="n">
        <v>0.1</v>
      </c>
      <c r="G52" s="0" t="n">
        <v>0.1</v>
      </c>
      <c r="H52" s="0" t="n">
        <v>0.1</v>
      </c>
      <c r="I52" s="0" t="n">
        <v>0.1</v>
      </c>
      <c r="J52" s="0" t="n">
        <v>0.833333333333333</v>
      </c>
      <c r="K52" s="0" t="n">
        <v>0.833333333333333</v>
      </c>
      <c r="L52" s="0" t="n">
        <v>0.416666666666667</v>
      </c>
      <c r="M52" s="0" t="n">
        <v>0.416666666666667</v>
      </c>
      <c r="N52" s="0" t="n">
        <v>0.416666666666667</v>
      </c>
      <c r="O52" s="0" t="n">
        <v>0</v>
      </c>
      <c r="P52" s="0" t="n">
        <v>0</v>
      </c>
    </row>
    <row r="53" customFormat="false" ht="12.8" hidden="false" customHeight="false" outlineLevel="0" collapsed="false">
      <c r="B53" s="0" t="n">
        <v>47</v>
      </c>
      <c r="C53" s="0" t="n">
        <v>4</v>
      </c>
      <c r="D53" s="0" t="n">
        <v>0.1</v>
      </c>
      <c r="E53" s="0" t="n">
        <v>6.1</v>
      </c>
      <c r="F53" s="0" t="n">
        <v>0.1</v>
      </c>
      <c r="G53" s="0" t="n">
        <v>0.1</v>
      </c>
      <c r="H53" s="0" t="n">
        <v>0.1</v>
      </c>
      <c r="I53" s="0" t="n">
        <v>0.1</v>
      </c>
      <c r="J53" s="0" t="n">
        <v>0.25</v>
      </c>
      <c r="K53" s="0" t="n">
        <v>0.25</v>
      </c>
      <c r="L53" s="0" t="n">
        <v>0.833333333333333</v>
      </c>
      <c r="M53" s="0" t="n">
        <v>0.833333333333333</v>
      </c>
      <c r="N53" s="0" t="n">
        <v>0.416666666666667</v>
      </c>
      <c r="O53" s="0" t="n">
        <v>0.416666666666667</v>
      </c>
      <c r="P53" s="0" t="n">
        <v>0</v>
      </c>
    </row>
    <row r="54" customFormat="false" ht="12.8" hidden="false" customHeight="false" outlineLevel="0" collapsed="false">
      <c r="B54" s="0" t="n">
        <v>48</v>
      </c>
      <c r="C54" s="0" t="n">
        <v>5</v>
      </c>
      <c r="D54" s="0" t="n">
        <v>0.1</v>
      </c>
      <c r="E54" s="0" t="n">
        <v>8.1</v>
      </c>
      <c r="F54" s="0" t="n">
        <v>0.1</v>
      </c>
      <c r="G54" s="0" t="n">
        <v>0.1</v>
      </c>
      <c r="H54" s="0" t="n">
        <v>0.1</v>
      </c>
      <c r="I54" s="0" t="n">
        <v>0.1</v>
      </c>
      <c r="J54" s="0" t="n">
        <v>0.666666666666667</v>
      </c>
      <c r="K54" s="0" t="n">
        <v>0.25</v>
      </c>
      <c r="L54" s="0" t="n">
        <v>0.25</v>
      </c>
      <c r="M54" s="0" t="n">
        <v>0.833333333333333</v>
      </c>
      <c r="N54" s="0" t="n">
        <v>0.416666666666667</v>
      </c>
      <c r="O54" s="0" t="n">
        <v>0.416666666666667</v>
      </c>
      <c r="P54" s="0" t="n">
        <v>0</v>
      </c>
    </row>
    <row r="55" customFormat="false" ht="12.8" hidden="true" customHeight="false" outlineLevel="0" collapsed="false">
      <c r="B55" s="0" t="n">
        <v>49</v>
      </c>
      <c r="C55" s="0" t="n">
        <v>4</v>
      </c>
      <c r="D55" s="0" t="n">
        <v>0.1</v>
      </c>
      <c r="E55" s="0" t="n">
        <v>2.1</v>
      </c>
      <c r="F55" s="0" t="n">
        <v>0.1</v>
      </c>
      <c r="G55" s="0" t="n">
        <v>0.1</v>
      </c>
      <c r="H55" s="0" t="n">
        <v>1.1</v>
      </c>
      <c r="I55" s="0" t="n">
        <v>0.1</v>
      </c>
      <c r="J55" s="0" t="n">
        <v>0.666666666666667</v>
      </c>
      <c r="K55" s="0" t="n">
        <v>0.25</v>
      </c>
      <c r="L55" s="0" t="n">
        <v>0.25</v>
      </c>
      <c r="M55" s="0" t="n">
        <v>0.25</v>
      </c>
      <c r="N55" s="0" t="n">
        <v>0.416666666666667</v>
      </c>
      <c r="O55" s="0" t="n">
        <v>0.416666666666667</v>
      </c>
      <c r="P55" s="0" t="n">
        <v>0</v>
      </c>
    </row>
    <row r="56" customFormat="false" ht="12.8" hidden="false" customHeight="false" outlineLevel="0" collapsed="false">
      <c r="B56" s="0" t="n">
        <v>50</v>
      </c>
      <c r="C56" s="0" t="n">
        <v>6</v>
      </c>
      <c r="D56" s="0" t="n">
        <v>0.1</v>
      </c>
      <c r="E56" s="0" t="n">
        <v>10.1</v>
      </c>
      <c r="F56" s="0" t="n">
        <v>0.1</v>
      </c>
      <c r="G56" s="0" t="n">
        <v>0.1</v>
      </c>
      <c r="H56" s="0" t="n">
        <v>0.1</v>
      </c>
      <c r="I56" s="0" t="n">
        <v>0.1</v>
      </c>
      <c r="J56" s="0" t="n">
        <v>0.0833333333333333</v>
      </c>
      <c r="K56" s="0" t="n">
        <v>0.666666666666667</v>
      </c>
      <c r="L56" s="0" t="n">
        <v>0.25</v>
      </c>
      <c r="M56" s="0" t="n">
        <v>0.833333333333333</v>
      </c>
      <c r="N56" s="0" t="n">
        <v>0.416666666666667</v>
      </c>
      <c r="O56" s="0" t="n">
        <v>0.416666666666667</v>
      </c>
      <c r="P56" s="0" t="n">
        <v>1</v>
      </c>
    </row>
    <row r="57" customFormat="false" ht="12.8" hidden="false" customHeight="false" outlineLevel="0" collapsed="false">
      <c r="B57" s="0" t="n">
        <v>51</v>
      </c>
      <c r="C57" s="0" t="n">
        <v>4</v>
      </c>
      <c r="D57" s="0" t="n">
        <v>0.1</v>
      </c>
      <c r="E57" s="0" t="n">
        <v>2.1</v>
      </c>
      <c r="F57" s="0" t="n">
        <v>0.1</v>
      </c>
      <c r="G57" s="0" t="n">
        <v>2.1</v>
      </c>
      <c r="H57" s="0" t="n">
        <v>0.1</v>
      </c>
      <c r="I57" s="0" t="n">
        <v>0.1</v>
      </c>
      <c r="J57" s="0" t="n">
        <v>0.0833333333333333</v>
      </c>
      <c r="K57" s="0" t="n">
        <v>0.666666666666667</v>
      </c>
      <c r="L57" s="0" t="n">
        <v>0.666666666666667</v>
      </c>
      <c r="M57" s="0" t="n">
        <v>0.416666666666667</v>
      </c>
      <c r="N57" s="0" t="n">
        <v>0.416666666666667</v>
      </c>
      <c r="O57" s="0" t="n">
        <v>1</v>
      </c>
      <c r="P57" s="0" t="n">
        <v>1</v>
      </c>
    </row>
    <row r="58" customFormat="false" ht="12.8" hidden="true" customHeight="false" outlineLevel="0" collapsed="false">
      <c r="B58" s="0" t="n">
        <v>52</v>
      </c>
      <c r="C58" s="0" t="n">
        <v>6</v>
      </c>
      <c r="D58" s="0" t="n">
        <v>0.1</v>
      </c>
      <c r="E58" s="0" t="n">
        <v>4.1</v>
      </c>
      <c r="F58" s="0" t="n">
        <v>0.1</v>
      </c>
      <c r="G58" s="0" t="n">
        <v>0.1</v>
      </c>
      <c r="H58" s="0" t="n">
        <v>1.1</v>
      </c>
      <c r="I58" s="0" t="n">
        <v>0.1</v>
      </c>
      <c r="J58" s="0" t="n">
        <v>0.0833333333333333</v>
      </c>
      <c r="K58" s="0" t="n">
        <v>0.666666666666667</v>
      </c>
      <c r="L58" s="0" t="n">
        <v>0.25</v>
      </c>
      <c r="M58" s="0" t="n">
        <v>0.833333333333333</v>
      </c>
      <c r="N58" s="0" t="n">
        <v>0.416666666666667</v>
      </c>
      <c r="O58" s="0" t="n">
        <v>0.416666666666667</v>
      </c>
      <c r="P58" s="0" t="n">
        <v>1</v>
      </c>
    </row>
    <row r="59" customFormat="false" ht="12.8" hidden="true" customHeight="false" outlineLevel="0" collapsed="false">
      <c r="B59" s="0" t="n">
        <v>53</v>
      </c>
      <c r="C59" s="0" t="n">
        <v>7</v>
      </c>
      <c r="D59" s="0" t="n">
        <v>0.1</v>
      </c>
      <c r="E59" s="0" t="n">
        <v>6.1</v>
      </c>
      <c r="F59" s="0" t="n">
        <v>0.1</v>
      </c>
      <c r="G59" s="0" t="n">
        <v>0.1</v>
      </c>
      <c r="H59" s="0" t="n">
        <v>1.1</v>
      </c>
      <c r="I59" s="0" t="n">
        <v>0.1</v>
      </c>
      <c r="J59" s="0" t="n">
        <v>0.5</v>
      </c>
      <c r="K59" s="0" t="n">
        <v>0.0833333333333333</v>
      </c>
      <c r="L59" s="0" t="n">
        <v>0.666666666666667</v>
      </c>
      <c r="M59" s="0" t="n">
        <v>0.25</v>
      </c>
      <c r="N59" s="0" t="n">
        <v>0.833333333333333</v>
      </c>
      <c r="O59" s="0" t="n">
        <v>1.417</v>
      </c>
      <c r="P59" s="0" t="n">
        <v>1</v>
      </c>
    </row>
    <row r="60" customFormat="false" ht="12.8" hidden="false" customHeight="false" outlineLevel="0" collapsed="false">
      <c r="B60" s="0" t="n">
        <v>54</v>
      </c>
      <c r="C60" s="0" t="n">
        <v>6</v>
      </c>
      <c r="D60" s="0" t="n">
        <v>0.1</v>
      </c>
      <c r="E60" s="0" t="n">
        <v>4.1</v>
      </c>
      <c r="F60" s="0" t="n">
        <v>0.1</v>
      </c>
      <c r="G60" s="0" t="n">
        <v>2.1</v>
      </c>
      <c r="H60" s="0" t="n">
        <v>0.1</v>
      </c>
      <c r="I60" s="0" t="n">
        <v>0.1</v>
      </c>
      <c r="J60" s="0" t="n">
        <v>0.5</v>
      </c>
      <c r="K60" s="0" t="n">
        <v>0.0833333333333333</v>
      </c>
      <c r="L60" s="0" t="n">
        <v>0.666666666666667</v>
      </c>
      <c r="M60" s="0" t="n">
        <v>0.833333333333333</v>
      </c>
      <c r="N60" s="0" t="n">
        <v>0.833333333333333</v>
      </c>
      <c r="O60" s="0" t="n">
        <v>1.417</v>
      </c>
      <c r="P60" s="0" t="n">
        <v>1</v>
      </c>
    </row>
    <row r="61" customFormat="false" ht="12.8" hidden="false" customHeight="false" outlineLevel="0" collapsed="false">
      <c r="A61" s="0" t="s">
        <v>109</v>
      </c>
    </row>
  </sheetData>
  <autoFilter ref="B6:U60">
    <filterColumn colId="6">
      <customFilters and="true">
        <customFilter operator="equal" val="0.1"/>
      </customFilters>
    </filterColumn>
    <filterColumn colId="7">
      <customFilters and="true">
        <customFilter operator="equal" val="0.1"/>
      </customFilters>
    </filterColumn>
  </autoFilter>
  <mergeCells count="1">
    <mergeCell ref="L2:Q2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76"/>
  <sheetViews>
    <sheetView showFormulas="false" showGridLines="true" showRowColHeaders="true" showZeros="true" rightToLeft="false" tabSelected="false" showOutlineSymbols="true" defaultGridColor="true" view="normal" topLeftCell="J1" colorId="64" zoomScale="90" zoomScaleNormal="90" zoomScalePageLayoutView="100" workbookViewId="0">
      <selection pane="topLeft" activeCell="P4" activeCellId="0" sqref="P4"/>
    </sheetView>
  </sheetViews>
  <sheetFormatPr defaultColWidth="11.66015625" defaultRowHeight="12.8" zeroHeight="false" outlineLevelRow="0" outlineLevelCol="0"/>
  <sheetData>
    <row r="1" customFormat="false" ht="12.8" hidden="false" customHeight="false" outlineLevel="0" collapsed="false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customFormat="false" ht="12.8" hidden="false" customHeight="false" outlineLevel="0" collapsed="false">
      <c r="A2" s="36"/>
      <c r="B2" s="36"/>
      <c r="C2" s="36"/>
      <c r="D2" s="36"/>
      <c r="E2" s="36"/>
      <c r="F2" s="36"/>
      <c r="G2" s="36"/>
      <c r="H2" s="36"/>
      <c r="I2" s="36" t="s">
        <v>127</v>
      </c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3" customFormat="false" ht="12.8" hidden="false" customHeight="false" outlineLevel="0" collapsed="false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</row>
    <row r="4" customFormat="false" ht="12.8" hidden="false" customHeight="false" outlineLevel="0" collapsed="false">
      <c r="A4" s="36" t="s">
        <v>95</v>
      </c>
      <c r="B4" s="36" t="s">
        <v>108</v>
      </c>
      <c r="C4" s="36" t="s">
        <v>96</v>
      </c>
      <c r="D4" s="36" t="s">
        <v>97</v>
      </c>
      <c r="E4" s="36" t="s">
        <v>98</v>
      </c>
      <c r="F4" s="36" t="s">
        <v>99</v>
      </c>
      <c r="G4" s="36" t="s">
        <v>121</v>
      </c>
      <c r="H4" s="36" t="s">
        <v>122</v>
      </c>
      <c r="I4" s="36" t="s">
        <v>124</v>
      </c>
      <c r="J4" s="36" t="s">
        <v>125</v>
      </c>
      <c r="K4" s="36"/>
      <c r="L4" s="36"/>
      <c r="M4" s="36"/>
      <c r="N4" s="36"/>
      <c r="O4" s="36"/>
      <c r="P4" s="36" t="s">
        <v>114</v>
      </c>
      <c r="Q4" s="36" t="s">
        <v>115</v>
      </c>
      <c r="R4" s="36" t="s">
        <v>116</v>
      </c>
      <c r="S4" s="36" t="s">
        <v>117</v>
      </c>
      <c r="T4" s="36" t="s">
        <v>118</v>
      </c>
      <c r="U4" s="36" t="s">
        <v>119</v>
      </c>
      <c r="V4" s="36" t="s">
        <v>120</v>
      </c>
      <c r="W4" s="36"/>
      <c r="X4" s="36"/>
      <c r="Y4" s="36"/>
    </row>
    <row r="5" customFormat="false" ht="12.8" hidden="false" customHeight="false" outlineLevel="0" collapsed="false">
      <c r="A5" s="0" t="n">
        <v>1</v>
      </c>
      <c r="B5" s="0" t="n">
        <v>6</v>
      </c>
      <c r="C5" s="0" t="n">
        <v>2.1</v>
      </c>
      <c r="D5" s="0" t="n">
        <v>0.1</v>
      </c>
      <c r="E5" s="0" t="n">
        <v>1.1</v>
      </c>
      <c r="F5" s="0" t="n">
        <v>0.1</v>
      </c>
      <c r="P5" s="0" t="n">
        <v>0</v>
      </c>
      <c r="Q5" s="0" t="n">
        <v>0.583333333333333</v>
      </c>
      <c r="R5" s="0" t="n">
        <v>0.166666666666667</v>
      </c>
      <c r="S5" s="0" t="n">
        <v>0.333333333333333</v>
      </c>
      <c r="T5" s="0" t="n">
        <v>0.333333333333333</v>
      </c>
      <c r="U5" s="0" t="n">
        <v>0.916666666666667</v>
      </c>
      <c r="V5" s="0" t="n">
        <v>1.5</v>
      </c>
    </row>
    <row r="6" customFormat="false" ht="12.8" hidden="false" customHeight="false" outlineLevel="0" collapsed="false">
      <c r="A6" s="0" t="n">
        <v>1.5</v>
      </c>
      <c r="B6" s="0" t="n">
        <v>6</v>
      </c>
      <c r="C6" s="0" t="n">
        <v>2.1</v>
      </c>
      <c r="D6" s="0" t="n">
        <v>0.1</v>
      </c>
      <c r="E6" s="0" t="n">
        <v>1.1</v>
      </c>
      <c r="F6" s="0" t="n">
        <v>0.1</v>
      </c>
      <c r="P6" s="0" t="n">
        <v>0</v>
      </c>
      <c r="Q6" s="0" t="n">
        <v>0.583333333333333</v>
      </c>
      <c r="R6" s="0" t="n">
        <v>0.166666666666667</v>
      </c>
      <c r="S6" s="0" t="n">
        <v>0.333333333333333</v>
      </c>
      <c r="T6" s="0" t="n">
        <v>0.333333333333333</v>
      </c>
      <c r="U6" s="0" t="n">
        <v>0.916666666666667</v>
      </c>
      <c r="V6" s="0" t="n">
        <v>1.5</v>
      </c>
    </row>
    <row r="7" customFormat="false" ht="12.8" hidden="false" customHeight="false" outlineLevel="0" collapsed="false">
      <c r="A7" s="0" t="n">
        <v>3</v>
      </c>
      <c r="B7" s="0" t="n">
        <v>7</v>
      </c>
      <c r="C7" s="0" t="n">
        <v>6.1</v>
      </c>
      <c r="D7" s="0" t="n">
        <v>0.1</v>
      </c>
      <c r="E7" s="0" t="n">
        <v>0.1</v>
      </c>
      <c r="F7" s="0" t="n">
        <v>0.1</v>
      </c>
      <c r="P7" s="0" t="n">
        <v>0</v>
      </c>
      <c r="Q7" s="0" t="n">
        <v>0.583333333333333</v>
      </c>
      <c r="R7" s="0" t="n">
        <v>0.166666666666667</v>
      </c>
      <c r="S7" s="0" t="n">
        <v>0.75</v>
      </c>
      <c r="T7" s="0" t="n">
        <v>0.333333333333333</v>
      </c>
      <c r="U7" s="0" t="n">
        <v>0.916666666666667</v>
      </c>
      <c r="V7" s="0" t="n">
        <v>1.5</v>
      </c>
    </row>
    <row r="8" customFormat="false" ht="12.8" hidden="false" customHeight="false" outlineLevel="0" collapsed="false">
      <c r="A8" s="0" t="n">
        <v>3.5</v>
      </c>
      <c r="B8" s="0" t="n">
        <v>7</v>
      </c>
      <c r="C8" s="0" t="n">
        <v>6.1</v>
      </c>
      <c r="D8" s="0" t="n">
        <v>0.1</v>
      </c>
      <c r="E8" s="0" t="n">
        <v>0.1</v>
      </c>
      <c r="F8" s="0" t="n">
        <v>0.1</v>
      </c>
      <c r="P8" s="0" t="n">
        <v>0</v>
      </c>
      <c r="Q8" s="0" t="n">
        <v>0.583333333333333</v>
      </c>
      <c r="R8" s="0" t="n">
        <v>0.166666666666667</v>
      </c>
      <c r="S8" s="0" t="n">
        <v>0.75</v>
      </c>
      <c r="T8" s="0" t="n">
        <v>0.333333333333333</v>
      </c>
      <c r="U8" s="0" t="n">
        <v>0.916666666666667</v>
      </c>
      <c r="V8" s="0" t="n">
        <v>1.5</v>
      </c>
    </row>
    <row r="9" customFormat="false" ht="12.8" hidden="false" customHeight="false" outlineLevel="0" collapsed="false">
      <c r="A9" s="0" t="n">
        <v>4</v>
      </c>
      <c r="B9" s="0" t="n">
        <v>4</v>
      </c>
      <c r="C9" s="0" t="n">
        <v>1.1</v>
      </c>
      <c r="D9" s="0" t="n">
        <v>0.1</v>
      </c>
      <c r="E9" s="0" t="n">
        <v>1.1</v>
      </c>
      <c r="F9" s="0" t="n">
        <v>0.1</v>
      </c>
      <c r="P9" s="0" t="n">
        <v>0</v>
      </c>
      <c r="Q9" s="0" t="n">
        <v>0.583333333333333</v>
      </c>
      <c r="R9" s="0" t="n">
        <v>0.583333333333333</v>
      </c>
      <c r="S9" s="0" t="n">
        <v>0.583333333333333</v>
      </c>
      <c r="T9" s="0" t="n">
        <v>0.333333333333333</v>
      </c>
      <c r="U9" s="0" t="n">
        <v>0.333333333333333</v>
      </c>
      <c r="V9" s="0" t="n">
        <v>0.916666666666667</v>
      </c>
    </row>
    <row r="10" customFormat="false" ht="12.8" hidden="false" customHeight="false" outlineLevel="0" collapsed="false">
      <c r="A10" s="0" t="n">
        <v>4.5</v>
      </c>
      <c r="B10" s="0" t="n">
        <v>4</v>
      </c>
      <c r="C10" s="0" t="n">
        <v>1.1</v>
      </c>
      <c r="D10" s="0" t="n">
        <v>0.1</v>
      </c>
      <c r="E10" s="0" t="n">
        <v>1.1</v>
      </c>
      <c r="F10" s="0" t="n">
        <v>0.1</v>
      </c>
      <c r="P10" s="0" t="n">
        <v>0</v>
      </c>
      <c r="Q10" s="0" t="n">
        <v>0.583333333333333</v>
      </c>
      <c r="R10" s="0" t="n">
        <v>0.583333333333333</v>
      </c>
      <c r="S10" s="0" t="n">
        <v>0.583333333333333</v>
      </c>
      <c r="T10" s="0" t="n">
        <v>0.333333333333333</v>
      </c>
      <c r="U10" s="0" t="n">
        <v>0.333333333333333</v>
      </c>
      <c r="V10" s="0" t="n">
        <v>0.916666666666667</v>
      </c>
    </row>
    <row r="11" customFormat="false" ht="12.8" hidden="false" customHeight="false" outlineLevel="0" collapsed="false">
      <c r="A11" s="0" t="n">
        <v>6</v>
      </c>
      <c r="B11" s="0" t="n">
        <v>6</v>
      </c>
      <c r="C11" s="0" t="n">
        <v>5.1</v>
      </c>
      <c r="D11" s="0" t="n">
        <v>0.1</v>
      </c>
      <c r="E11" s="0" t="n">
        <v>0.1</v>
      </c>
      <c r="F11" s="0" t="n">
        <v>0.1</v>
      </c>
      <c r="P11" s="0" t="n">
        <v>0</v>
      </c>
      <c r="Q11" s="0" t="n">
        <v>0.583333333333333</v>
      </c>
      <c r="R11" s="0" t="n">
        <v>0.166666666666667</v>
      </c>
      <c r="S11" s="0" t="n">
        <v>0.75</v>
      </c>
      <c r="T11" s="0" t="n">
        <v>0.333333333333333</v>
      </c>
      <c r="U11" s="0" t="n">
        <v>0.333333333333333</v>
      </c>
      <c r="V11" s="0" t="n">
        <v>0.916666666666667</v>
      </c>
    </row>
    <row r="12" customFormat="false" ht="12.8" hidden="false" customHeight="false" outlineLevel="0" collapsed="false">
      <c r="A12" s="0" t="n">
        <v>6.5</v>
      </c>
      <c r="B12" s="0" t="n">
        <v>6</v>
      </c>
      <c r="C12" s="0" t="n">
        <v>5.1</v>
      </c>
      <c r="D12" s="0" t="n">
        <v>0.1</v>
      </c>
      <c r="E12" s="0" t="n">
        <v>0.1</v>
      </c>
      <c r="F12" s="0" t="n">
        <v>0.1</v>
      </c>
      <c r="P12" s="0" t="n">
        <v>0</v>
      </c>
      <c r="Q12" s="0" t="n">
        <v>0.583333333333333</v>
      </c>
      <c r="R12" s="0" t="n">
        <v>0.166666666666667</v>
      </c>
      <c r="S12" s="0" t="n">
        <v>0.75</v>
      </c>
      <c r="T12" s="0" t="n">
        <v>0.333333333333333</v>
      </c>
      <c r="U12" s="0" t="n">
        <v>0.333333333333333</v>
      </c>
      <c r="V12" s="0" t="n">
        <v>0.916666666666667</v>
      </c>
    </row>
    <row r="13" customFormat="false" ht="12.8" hidden="false" customHeight="false" outlineLevel="0" collapsed="false">
      <c r="A13" s="0" t="n">
        <v>8</v>
      </c>
      <c r="B13" s="0" t="n">
        <v>7</v>
      </c>
      <c r="C13" s="0" t="n">
        <v>5.1</v>
      </c>
      <c r="D13" s="0" t="n">
        <v>2.1</v>
      </c>
      <c r="E13" s="0" t="n">
        <v>0.1</v>
      </c>
      <c r="F13" s="0" t="n">
        <v>0.1</v>
      </c>
      <c r="P13" s="0" t="n">
        <v>0.416666666666667</v>
      </c>
      <c r="Q13" s="0" t="n">
        <v>0</v>
      </c>
      <c r="R13" s="0" t="n">
        <v>0.583333333333333</v>
      </c>
      <c r="S13" s="0" t="n">
        <v>0.166666666666667</v>
      </c>
      <c r="T13" s="0" t="n">
        <v>0.75</v>
      </c>
      <c r="U13" s="0" t="n">
        <v>1.333</v>
      </c>
      <c r="V13" s="0" t="n">
        <v>0.916666666666667</v>
      </c>
    </row>
    <row r="14" customFormat="false" ht="12.8" hidden="false" customHeight="false" outlineLevel="0" collapsed="false">
      <c r="A14" s="0" t="n">
        <v>8.5</v>
      </c>
      <c r="B14" s="0" t="n">
        <v>7</v>
      </c>
      <c r="C14" s="0" t="n">
        <v>5.1</v>
      </c>
      <c r="D14" s="0" t="n">
        <v>2.1</v>
      </c>
      <c r="E14" s="0" t="n">
        <v>0.1</v>
      </c>
      <c r="F14" s="0" t="n">
        <v>0.1</v>
      </c>
      <c r="P14" s="0" t="n">
        <v>0.416666666666667</v>
      </c>
      <c r="Q14" s="0" t="n">
        <v>0</v>
      </c>
      <c r="R14" s="0" t="n">
        <v>0.583333333333333</v>
      </c>
      <c r="S14" s="0" t="n">
        <v>0.166666666666667</v>
      </c>
      <c r="T14" s="0" t="n">
        <v>0.75</v>
      </c>
      <c r="U14" s="0" t="n">
        <v>1.333</v>
      </c>
      <c r="V14" s="0" t="n">
        <v>0.916666666666667</v>
      </c>
    </row>
    <row r="15" customFormat="false" ht="12.8" hidden="false" customHeight="false" outlineLevel="0" collapsed="false">
      <c r="A15" s="0" t="n">
        <v>9</v>
      </c>
      <c r="B15" s="0" t="n">
        <v>6</v>
      </c>
      <c r="C15" s="0" t="n">
        <v>1.1</v>
      </c>
      <c r="D15" s="0" t="n">
        <v>2.1</v>
      </c>
      <c r="E15" s="0" t="n">
        <v>1.1</v>
      </c>
      <c r="F15" s="0" t="n">
        <v>0.1</v>
      </c>
      <c r="P15" s="0" t="n">
        <v>0.416666666666667</v>
      </c>
      <c r="Q15" s="0" t="n">
        <v>0</v>
      </c>
      <c r="R15" s="0" t="n">
        <v>0.583333333333333</v>
      </c>
      <c r="S15" s="0" t="n">
        <v>0.583333333333333</v>
      </c>
      <c r="T15" s="0" t="n">
        <v>0.75</v>
      </c>
      <c r="U15" s="0" t="n">
        <v>1.333</v>
      </c>
      <c r="V15" s="0" t="n">
        <v>0.916666666666667</v>
      </c>
    </row>
    <row r="16" customFormat="false" ht="12.8" hidden="false" customHeight="false" outlineLevel="0" collapsed="false">
      <c r="A16" s="0" t="n">
        <v>9.5</v>
      </c>
      <c r="B16" s="0" t="n">
        <v>6</v>
      </c>
      <c r="C16" s="0" t="n">
        <v>1.1</v>
      </c>
      <c r="D16" s="0" t="n">
        <v>2.1</v>
      </c>
      <c r="E16" s="0" t="n">
        <v>1.1</v>
      </c>
      <c r="F16" s="0" t="n">
        <v>0.1</v>
      </c>
      <c r="P16" s="0" t="n">
        <v>0.416666666666667</v>
      </c>
      <c r="Q16" s="0" t="n">
        <v>0</v>
      </c>
      <c r="R16" s="0" t="n">
        <v>0.583333333333333</v>
      </c>
      <c r="S16" s="0" t="n">
        <v>0.583333333333333</v>
      </c>
      <c r="T16" s="0" t="n">
        <v>0.75</v>
      </c>
      <c r="U16" s="0" t="n">
        <v>1.333</v>
      </c>
      <c r="V16" s="0" t="n">
        <v>0.916666666666667</v>
      </c>
    </row>
    <row r="17" customFormat="false" ht="12.8" hidden="false" customHeight="false" outlineLevel="0" collapsed="false">
      <c r="A17" s="0" t="n">
        <v>11</v>
      </c>
      <c r="B17" s="0" t="n">
        <v>5</v>
      </c>
      <c r="C17" s="0" t="n">
        <v>4.1</v>
      </c>
      <c r="D17" s="0" t="n">
        <v>0.1</v>
      </c>
      <c r="E17" s="0" t="n">
        <v>0.1</v>
      </c>
      <c r="F17" s="0" t="n">
        <v>0.1</v>
      </c>
      <c r="P17" s="0" t="n">
        <v>0</v>
      </c>
      <c r="Q17" s="0" t="n">
        <v>0.583333333333333</v>
      </c>
      <c r="R17" s="0" t="n">
        <v>0.583333333333333</v>
      </c>
      <c r="S17" s="0" t="n">
        <v>0.166666666666667</v>
      </c>
      <c r="T17" s="0" t="n">
        <v>0.75</v>
      </c>
      <c r="U17" s="0" t="n">
        <v>0.75</v>
      </c>
      <c r="V17" s="0" t="n">
        <v>0.333333333333333</v>
      </c>
    </row>
    <row r="18" customFormat="false" ht="12.8" hidden="false" customHeight="false" outlineLevel="0" collapsed="false">
      <c r="A18" s="0" t="n">
        <v>11.5</v>
      </c>
      <c r="B18" s="0" t="n">
        <v>5</v>
      </c>
      <c r="C18" s="0" t="n">
        <v>4.1</v>
      </c>
      <c r="D18" s="0" t="n">
        <v>0.1</v>
      </c>
      <c r="E18" s="0" t="n">
        <v>0.1</v>
      </c>
      <c r="F18" s="0" t="n">
        <v>0.1</v>
      </c>
      <c r="P18" s="0" t="n">
        <v>0</v>
      </c>
      <c r="Q18" s="0" t="n">
        <v>0.583333333333333</v>
      </c>
      <c r="R18" s="0" t="n">
        <v>0.583333333333333</v>
      </c>
      <c r="S18" s="0" t="n">
        <v>0.166666666666667</v>
      </c>
      <c r="T18" s="0" t="n">
        <v>0.75</v>
      </c>
      <c r="U18" s="0" t="n">
        <v>0.75</v>
      </c>
      <c r="V18" s="0" t="n">
        <v>0.333333333333333</v>
      </c>
    </row>
    <row r="19" customFormat="false" ht="12.8" hidden="false" customHeight="false" outlineLevel="0" collapsed="false">
      <c r="A19" s="0" t="n">
        <v>13</v>
      </c>
      <c r="B19" s="0" t="n">
        <v>4</v>
      </c>
      <c r="C19" s="0" t="n">
        <v>0.1</v>
      </c>
      <c r="D19" s="0" t="n">
        <v>2.1</v>
      </c>
      <c r="E19" s="0" t="n">
        <v>1.1</v>
      </c>
      <c r="F19" s="0" t="n">
        <v>0.1</v>
      </c>
      <c r="P19" s="0" t="n">
        <v>0.416666666666667</v>
      </c>
      <c r="Q19" s="0" t="n">
        <v>0</v>
      </c>
      <c r="R19" s="0" t="n">
        <v>0</v>
      </c>
      <c r="S19" s="0" t="n">
        <v>0.75</v>
      </c>
      <c r="T19" s="0" t="n">
        <v>0.75</v>
      </c>
      <c r="U19" s="0" t="n">
        <v>0.75</v>
      </c>
      <c r="V19" s="0" t="n">
        <v>1.333</v>
      </c>
    </row>
    <row r="20" customFormat="false" ht="12.8" hidden="false" customHeight="false" outlineLevel="0" collapsed="false">
      <c r="A20" s="0" t="n">
        <v>13.5</v>
      </c>
      <c r="B20" s="0" t="n">
        <v>4</v>
      </c>
      <c r="C20" s="0" t="n">
        <v>0.1</v>
      </c>
      <c r="D20" s="0" t="n">
        <v>2.1</v>
      </c>
      <c r="E20" s="0" t="n">
        <v>1.1</v>
      </c>
      <c r="F20" s="0" t="n">
        <v>0.1</v>
      </c>
      <c r="P20" s="0" t="n">
        <v>0.416666666666667</v>
      </c>
      <c r="Q20" s="0" t="n">
        <v>0</v>
      </c>
      <c r="R20" s="0" t="n">
        <v>0</v>
      </c>
      <c r="S20" s="0" t="n">
        <v>0.75</v>
      </c>
      <c r="T20" s="0" t="n">
        <v>0.75</v>
      </c>
      <c r="U20" s="0" t="n">
        <v>0.75</v>
      </c>
      <c r="V20" s="0" t="n">
        <v>1.333</v>
      </c>
    </row>
    <row r="21" customFormat="false" ht="12.8" hidden="false" customHeight="false" outlineLevel="0" collapsed="false">
      <c r="A21" s="0" t="n">
        <v>14</v>
      </c>
      <c r="B21" s="0" t="n">
        <v>6</v>
      </c>
      <c r="C21" s="0" t="n">
        <v>4.1</v>
      </c>
      <c r="D21" s="0" t="n">
        <v>2.1</v>
      </c>
      <c r="E21" s="0" t="n">
        <v>0.1</v>
      </c>
      <c r="F21" s="0" t="n">
        <v>0.1</v>
      </c>
      <c r="P21" s="0" t="n">
        <v>0.416666666666667</v>
      </c>
      <c r="Q21" s="0" t="n">
        <v>0</v>
      </c>
      <c r="R21" s="0" t="n">
        <v>0.583333333333333</v>
      </c>
      <c r="S21" s="0" t="n">
        <v>0.166666666666667</v>
      </c>
      <c r="T21" s="0" t="n">
        <v>0.75</v>
      </c>
      <c r="U21" s="0" t="n">
        <v>0.75</v>
      </c>
      <c r="V21" s="0" t="n">
        <v>1.333</v>
      </c>
    </row>
    <row r="22" customFormat="false" ht="12.8" hidden="false" customHeight="false" outlineLevel="0" collapsed="false">
      <c r="A22" s="0" t="n">
        <v>14.5</v>
      </c>
      <c r="B22" s="0" t="n">
        <v>6</v>
      </c>
      <c r="C22" s="0" t="n">
        <v>4.1</v>
      </c>
      <c r="D22" s="0" t="n">
        <v>2.1</v>
      </c>
      <c r="E22" s="0" t="n">
        <v>0.1</v>
      </c>
      <c r="F22" s="0" t="n">
        <v>0.1</v>
      </c>
      <c r="P22" s="0" t="n">
        <v>0.416666666666667</v>
      </c>
      <c r="Q22" s="0" t="n">
        <v>0</v>
      </c>
      <c r="R22" s="0" t="n">
        <v>0.583333333333333</v>
      </c>
      <c r="S22" s="0" t="n">
        <v>0.166666666666667</v>
      </c>
      <c r="T22" s="0" t="n">
        <v>0.75</v>
      </c>
      <c r="U22" s="0" t="n">
        <v>0.75</v>
      </c>
      <c r="V22" s="0" t="n">
        <v>1.333</v>
      </c>
    </row>
    <row r="23" customFormat="false" ht="12.8" hidden="false" customHeight="true" outlineLevel="0" collapsed="false">
      <c r="A23" s="0" t="n">
        <v>15</v>
      </c>
      <c r="B23" s="0" t="n">
        <v>6</v>
      </c>
      <c r="C23" s="0" t="n">
        <v>3.1</v>
      </c>
      <c r="D23" s="0" t="n">
        <v>4.1</v>
      </c>
      <c r="E23" s="0" t="n">
        <v>0.1</v>
      </c>
      <c r="F23" s="0" t="n">
        <v>0.1</v>
      </c>
      <c r="P23" s="0" t="n">
        <v>0.833333333333333</v>
      </c>
      <c r="Q23" s="0" t="n">
        <v>0</v>
      </c>
      <c r="R23" s="0" t="n">
        <v>0</v>
      </c>
      <c r="S23" s="0" t="n">
        <v>0.583333333333333</v>
      </c>
      <c r="T23" s="0" t="n">
        <v>0.166666666666667</v>
      </c>
      <c r="U23" s="0" t="n">
        <v>1.75</v>
      </c>
      <c r="V23" s="0" t="n">
        <v>0.333333333333333</v>
      </c>
    </row>
    <row r="24" customFormat="false" ht="12.8" hidden="false" customHeight="false" outlineLevel="0" collapsed="false">
      <c r="A24" s="0" t="n">
        <v>15.5</v>
      </c>
      <c r="B24" s="0" t="n">
        <v>6</v>
      </c>
      <c r="C24" s="0" t="n">
        <v>3.1</v>
      </c>
      <c r="D24" s="0" t="n">
        <v>4.1</v>
      </c>
      <c r="E24" s="0" t="n">
        <v>0.1</v>
      </c>
      <c r="F24" s="0" t="n">
        <v>0.1</v>
      </c>
      <c r="P24" s="0" t="n">
        <v>0.833333333333333</v>
      </c>
      <c r="Q24" s="0" t="n">
        <v>0</v>
      </c>
      <c r="R24" s="0" t="n">
        <v>0</v>
      </c>
      <c r="S24" s="0" t="n">
        <v>0.583333333333333</v>
      </c>
      <c r="T24" s="0" t="n">
        <v>0.166666666666667</v>
      </c>
      <c r="U24" s="0" t="n">
        <v>1.75</v>
      </c>
      <c r="V24" s="0" t="n">
        <v>0.333333333333333</v>
      </c>
    </row>
    <row r="25" customFormat="false" ht="12.8" hidden="false" customHeight="false" outlineLevel="0" collapsed="false">
      <c r="A25" s="0" t="n">
        <v>16</v>
      </c>
      <c r="B25" s="0" t="n">
        <v>6</v>
      </c>
      <c r="C25" s="0" t="n">
        <v>0.1</v>
      </c>
      <c r="D25" s="0" t="n">
        <v>4.1</v>
      </c>
      <c r="E25" s="0" t="n">
        <v>1.1</v>
      </c>
      <c r="F25" s="0" t="n">
        <v>0.1</v>
      </c>
      <c r="P25" s="0" t="n">
        <v>0.833333333333333</v>
      </c>
      <c r="Q25" s="0" t="n">
        <v>0.416666666666667</v>
      </c>
      <c r="R25" s="0" t="n">
        <v>0</v>
      </c>
      <c r="S25" s="0" t="n">
        <v>0.166666666666667</v>
      </c>
      <c r="T25" s="0" t="n">
        <v>0.166666666666667</v>
      </c>
      <c r="U25" s="0" t="n">
        <v>1.75</v>
      </c>
      <c r="V25" s="0" t="n">
        <v>1.333</v>
      </c>
    </row>
    <row r="26" customFormat="false" ht="12.8" hidden="false" customHeight="false" outlineLevel="0" collapsed="false">
      <c r="A26" s="0" t="n">
        <v>16.5</v>
      </c>
      <c r="B26" s="0" t="n">
        <v>6</v>
      </c>
      <c r="C26" s="0" t="n">
        <v>0.1</v>
      </c>
      <c r="D26" s="0" t="n">
        <v>4.1</v>
      </c>
      <c r="E26" s="0" t="n">
        <v>1.1</v>
      </c>
      <c r="F26" s="0" t="n">
        <v>0.1</v>
      </c>
      <c r="P26" s="0" t="n">
        <v>0.833333333333333</v>
      </c>
      <c r="Q26" s="0" t="n">
        <v>0.416666666666667</v>
      </c>
      <c r="R26" s="0" t="n">
        <v>0</v>
      </c>
      <c r="S26" s="0" t="n">
        <v>0.166666666666667</v>
      </c>
      <c r="T26" s="0" t="n">
        <v>0.166666666666667</v>
      </c>
      <c r="U26" s="0" t="n">
        <v>1.75</v>
      </c>
      <c r="V26" s="0" t="n">
        <v>1.333</v>
      </c>
    </row>
    <row r="27" customFormat="false" ht="12.8" hidden="false" customHeight="false" outlineLevel="0" collapsed="false">
      <c r="A27" s="0" t="n">
        <v>18</v>
      </c>
      <c r="B27" s="0" t="n">
        <v>7</v>
      </c>
      <c r="C27" s="0" t="n">
        <v>4.1</v>
      </c>
      <c r="D27" s="0" t="n">
        <v>4.1</v>
      </c>
      <c r="E27" s="0" t="n">
        <v>0.1</v>
      </c>
      <c r="F27" s="0" t="n">
        <v>0.1</v>
      </c>
      <c r="P27" s="0" t="n">
        <v>0.833333333333333</v>
      </c>
      <c r="Q27" s="0" t="n">
        <v>0.416666666666667</v>
      </c>
      <c r="R27" s="0" t="n">
        <v>0</v>
      </c>
      <c r="S27" s="0" t="n">
        <v>0.583333333333333</v>
      </c>
      <c r="T27" s="0" t="n">
        <v>0.166666666666667</v>
      </c>
      <c r="U27" s="0" t="n">
        <v>1.75</v>
      </c>
      <c r="V27" s="0" t="n">
        <v>1.333</v>
      </c>
    </row>
    <row r="28" customFormat="false" ht="12.8" hidden="false" customHeight="false" outlineLevel="0" collapsed="false">
      <c r="A28" s="0" t="n">
        <v>18.5</v>
      </c>
      <c r="B28" s="0" t="n">
        <v>7</v>
      </c>
      <c r="C28" s="0" t="n">
        <v>4.1</v>
      </c>
      <c r="D28" s="0" t="n">
        <v>4.1</v>
      </c>
      <c r="E28" s="0" t="n">
        <v>0.1</v>
      </c>
      <c r="F28" s="0" t="n">
        <v>0.1</v>
      </c>
      <c r="P28" s="0" t="n">
        <v>0.833333333333333</v>
      </c>
      <c r="Q28" s="0" t="n">
        <v>0.416666666666667</v>
      </c>
      <c r="R28" s="0" t="n">
        <v>0</v>
      </c>
      <c r="S28" s="0" t="n">
        <v>0.583333333333333</v>
      </c>
      <c r="T28" s="0" t="n">
        <v>0.166666666666667</v>
      </c>
      <c r="U28" s="0" t="n">
        <v>1.75</v>
      </c>
      <c r="V28" s="0" t="n">
        <v>1.333</v>
      </c>
    </row>
    <row r="29" customFormat="false" ht="12.8" hidden="false" customHeight="false" outlineLevel="0" collapsed="false">
      <c r="A29" s="0" t="n">
        <v>19</v>
      </c>
      <c r="B29" s="0" t="n">
        <v>4</v>
      </c>
      <c r="C29" s="0" t="n">
        <v>3.1</v>
      </c>
      <c r="D29" s="0" t="n">
        <v>0.1</v>
      </c>
      <c r="E29" s="0" t="n">
        <v>0.1</v>
      </c>
      <c r="F29" s="0" t="n">
        <v>0.1</v>
      </c>
      <c r="P29" s="0" t="n">
        <v>0</v>
      </c>
      <c r="Q29" s="0" t="n">
        <v>0</v>
      </c>
      <c r="R29" s="0" t="n">
        <v>0.583333333333333</v>
      </c>
      <c r="S29" s="0" t="n">
        <v>0.583333333333333</v>
      </c>
      <c r="T29" s="0" t="n">
        <v>0.166666666666667</v>
      </c>
      <c r="U29" s="0" t="n">
        <v>0.166666666666667</v>
      </c>
      <c r="V29" s="0" t="n">
        <v>0.75</v>
      </c>
    </row>
    <row r="30" customFormat="false" ht="12.8" hidden="false" customHeight="false" outlineLevel="0" collapsed="false">
      <c r="A30" s="0" t="n">
        <v>19.5</v>
      </c>
      <c r="B30" s="0" t="n">
        <v>4</v>
      </c>
      <c r="C30" s="0" t="n">
        <v>3.1</v>
      </c>
      <c r="D30" s="0" t="n">
        <v>0.1</v>
      </c>
      <c r="E30" s="0" t="n">
        <v>0.1</v>
      </c>
      <c r="F30" s="0" t="n">
        <v>0.1</v>
      </c>
      <c r="P30" s="0" t="n">
        <v>0</v>
      </c>
      <c r="Q30" s="0" t="n">
        <v>0</v>
      </c>
      <c r="R30" s="0" t="n">
        <v>0.583333333333333</v>
      </c>
      <c r="S30" s="0" t="n">
        <v>0.583333333333333</v>
      </c>
      <c r="T30" s="0" t="n">
        <v>0.166666666666667</v>
      </c>
      <c r="U30" s="0" t="n">
        <v>0.166666666666667</v>
      </c>
      <c r="V30" s="0" t="n">
        <v>0.75</v>
      </c>
    </row>
    <row r="31" customFormat="false" ht="12.8" hidden="false" customHeight="false" outlineLevel="0" collapsed="false">
      <c r="A31" s="0" t="n">
        <v>20</v>
      </c>
      <c r="B31" s="0" t="n">
        <v>5</v>
      </c>
      <c r="C31" s="0" t="n">
        <v>3.1</v>
      </c>
      <c r="D31" s="0" t="n">
        <v>2.1</v>
      </c>
      <c r="E31" s="0" t="n">
        <v>0.1</v>
      </c>
      <c r="F31" s="0" t="n">
        <v>0.1</v>
      </c>
      <c r="P31" s="0" t="n">
        <v>0.416666666666667</v>
      </c>
      <c r="Q31" s="0" t="n">
        <v>0</v>
      </c>
      <c r="R31" s="0" t="n">
        <v>0</v>
      </c>
      <c r="S31" s="0" t="n">
        <v>0.583333333333333</v>
      </c>
      <c r="T31" s="0" t="n">
        <v>0.166666666666667</v>
      </c>
      <c r="U31" s="0" t="n">
        <v>0.166666666666667</v>
      </c>
      <c r="V31" s="0" t="n">
        <v>0.75</v>
      </c>
    </row>
    <row r="32" customFormat="false" ht="12.8" hidden="false" customHeight="false" outlineLevel="0" collapsed="false">
      <c r="A32" s="0" t="n">
        <v>20.5</v>
      </c>
      <c r="B32" s="0" t="n">
        <v>5</v>
      </c>
      <c r="C32" s="0" t="n">
        <v>3.1</v>
      </c>
      <c r="D32" s="0" t="n">
        <v>2.1</v>
      </c>
      <c r="E32" s="0" t="n">
        <v>0.1</v>
      </c>
      <c r="F32" s="0" t="n">
        <v>0.1</v>
      </c>
      <c r="P32" s="0" t="n">
        <v>0.416666666666667</v>
      </c>
      <c r="Q32" s="0" t="n">
        <v>0</v>
      </c>
      <c r="R32" s="0" t="n">
        <v>0</v>
      </c>
      <c r="S32" s="0" t="n">
        <v>0.583333333333333</v>
      </c>
      <c r="T32" s="0" t="n">
        <v>0.166666666666667</v>
      </c>
      <c r="U32" s="0" t="n">
        <v>0.166666666666667</v>
      </c>
      <c r="V32" s="0" t="n">
        <v>0.75</v>
      </c>
    </row>
    <row r="33" customFormat="false" ht="12.8" hidden="false" customHeight="false" outlineLevel="0" collapsed="false">
      <c r="A33" s="0" t="n">
        <v>25</v>
      </c>
      <c r="B33" s="0" t="n">
        <v>7</v>
      </c>
      <c r="C33" s="0" t="n">
        <v>3.1</v>
      </c>
      <c r="D33" s="0" t="n">
        <v>6.1</v>
      </c>
      <c r="E33" s="0" t="n">
        <v>0.1</v>
      </c>
      <c r="F33" s="0" t="n">
        <v>0.1</v>
      </c>
      <c r="P33" s="0" t="n">
        <v>0.25</v>
      </c>
      <c r="Q33" s="0" t="n">
        <v>0.833333333333333</v>
      </c>
      <c r="R33" s="0" t="n">
        <v>0.416666666666667</v>
      </c>
      <c r="S33" s="0" t="n">
        <v>0</v>
      </c>
      <c r="T33" s="0" t="n">
        <v>0.583333333333333</v>
      </c>
      <c r="U33" s="0" t="n">
        <v>1.167</v>
      </c>
      <c r="V33" s="0" t="n">
        <v>1.75</v>
      </c>
    </row>
    <row r="34" customFormat="false" ht="12.8" hidden="false" customHeight="false" outlineLevel="0" collapsed="false">
      <c r="A34" s="0" t="n">
        <v>25.5</v>
      </c>
      <c r="B34" s="0" t="n">
        <v>7</v>
      </c>
      <c r="C34" s="0" t="n">
        <v>3.1</v>
      </c>
      <c r="D34" s="0" t="n">
        <v>6.1</v>
      </c>
      <c r="E34" s="0" t="n">
        <v>0.1</v>
      </c>
      <c r="F34" s="0" t="n">
        <v>0.1</v>
      </c>
      <c r="P34" s="0" t="n">
        <v>0.25</v>
      </c>
      <c r="Q34" s="0" t="n">
        <v>0.833333333333333</v>
      </c>
      <c r="R34" s="0" t="n">
        <v>0.416666666666667</v>
      </c>
      <c r="S34" s="0" t="n">
        <v>0</v>
      </c>
      <c r="T34" s="0" t="n">
        <v>0.583333333333333</v>
      </c>
      <c r="U34" s="0" t="n">
        <v>1.167</v>
      </c>
      <c r="V34" s="0" t="n">
        <v>1.75</v>
      </c>
    </row>
    <row r="35" customFormat="false" ht="12.8" hidden="false" customHeight="false" outlineLevel="0" collapsed="false">
      <c r="A35" s="0" t="n">
        <v>26</v>
      </c>
      <c r="B35" s="0" t="n">
        <v>3</v>
      </c>
      <c r="C35" s="0" t="n">
        <v>2.1</v>
      </c>
      <c r="D35" s="0" t="n">
        <v>0.1</v>
      </c>
      <c r="E35" s="0" t="n">
        <v>0.1</v>
      </c>
      <c r="F35" s="0" t="n">
        <v>0.1</v>
      </c>
      <c r="P35" s="0" t="n">
        <v>0</v>
      </c>
      <c r="Q35" s="0" t="n">
        <v>0</v>
      </c>
      <c r="R35" s="0" t="n">
        <v>0.583333333333333</v>
      </c>
      <c r="S35" s="0" t="n">
        <v>0.583333333333333</v>
      </c>
      <c r="T35" s="0" t="n">
        <v>0.583333333333333</v>
      </c>
      <c r="U35" s="0" t="n">
        <v>0.166666666666667</v>
      </c>
      <c r="V35" s="0" t="n">
        <v>0.166666666666667</v>
      </c>
    </row>
    <row r="36" customFormat="false" ht="12.8" hidden="false" customHeight="false" outlineLevel="0" collapsed="false">
      <c r="A36" s="0" t="n">
        <v>26.5</v>
      </c>
      <c r="B36" s="0" t="n">
        <v>3</v>
      </c>
      <c r="C36" s="0" t="n">
        <v>2.1</v>
      </c>
      <c r="D36" s="0" t="n">
        <v>0.1</v>
      </c>
      <c r="E36" s="0" t="n">
        <v>0.1</v>
      </c>
      <c r="F36" s="0" t="n">
        <v>0.1</v>
      </c>
      <c r="P36" s="0" t="n">
        <v>0</v>
      </c>
      <c r="Q36" s="0" t="n">
        <v>0</v>
      </c>
      <c r="R36" s="0" t="n">
        <v>0.583333333333333</v>
      </c>
      <c r="S36" s="0" t="n">
        <v>0.583333333333333</v>
      </c>
      <c r="T36" s="0" t="n">
        <v>0.583333333333333</v>
      </c>
      <c r="U36" s="0" t="n">
        <v>0.166666666666667</v>
      </c>
      <c r="V36" s="0" t="n">
        <v>0.166666666666667</v>
      </c>
    </row>
    <row r="37" customFormat="false" ht="12.8" hidden="false" customHeight="false" outlineLevel="0" collapsed="false">
      <c r="A37" s="0" t="n">
        <v>27</v>
      </c>
      <c r="B37" s="0" t="n">
        <v>4</v>
      </c>
      <c r="C37" s="0" t="n">
        <v>2.1</v>
      </c>
      <c r="D37" s="0" t="n">
        <v>2.1</v>
      </c>
      <c r="E37" s="0" t="n">
        <v>0.1</v>
      </c>
      <c r="F37" s="0" t="n">
        <v>0.1</v>
      </c>
      <c r="P37" s="0" t="n">
        <v>0.416666666666667</v>
      </c>
      <c r="Q37" s="0" t="n">
        <v>0</v>
      </c>
      <c r="R37" s="0" t="n">
        <v>0</v>
      </c>
      <c r="S37" s="0" t="n">
        <v>0.583333333333333</v>
      </c>
      <c r="T37" s="0" t="n">
        <v>0.583333333333333</v>
      </c>
      <c r="U37" s="0" t="n">
        <v>0.166666666666667</v>
      </c>
      <c r="V37" s="0" t="n">
        <v>0.166666666666667</v>
      </c>
    </row>
    <row r="38" customFormat="false" ht="12.8" hidden="false" customHeight="false" outlineLevel="0" collapsed="false">
      <c r="A38" s="0" t="n">
        <v>27.5</v>
      </c>
      <c r="B38" s="0" t="n">
        <v>4</v>
      </c>
      <c r="C38" s="0" t="n">
        <v>2.1</v>
      </c>
      <c r="D38" s="0" t="n">
        <v>2.1</v>
      </c>
      <c r="E38" s="0" t="n">
        <v>0.1</v>
      </c>
      <c r="F38" s="0" t="n">
        <v>0.1</v>
      </c>
      <c r="P38" s="0" t="n">
        <v>0.416666666666667</v>
      </c>
      <c r="Q38" s="0" t="n">
        <v>0</v>
      </c>
      <c r="R38" s="0" t="n">
        <v>0</v>
      </c>
      <c r="S38" s="0" t="n">
        <v>0.583333333333333</v>
      </c>
      <c r="T38" s="0" t="n">
        <v>0.583333333333333</v>
      </c>
      <c r="U38" s="0" t="n">
        <v>0.166666666666667</v>
      </c>
      <c r="V38" s="0" t="n">
        <v>0.166666666666667</v>
      </c>
    </row>
    <row r="39" customFormat="false" ht="12.8" hidden="false" customHeight="false" outlineLevel="0" collapsed="false">
      <c r="A39" s="0" t="n">
        <v>28</v>
      </c>
      <c r="B39" s="0" t="n">
        <v>5</v>
      </c>
      <c r="C39" s="0" t="n">
        <v>2.1</v>
      </c>
      <c r="D39" s="0" t="n">
        <v>4.1</v>
      </c>
      <c r="E39" s="0" t="n">
        <v>0.1</v>
      </c>
      <c r="F39" s="0" t="n">
        <v>0.1</v>
      </c>
      <c r="P39" s="0" t="n">
        <v>0.833333333333333</v>
      </c>
      <c r="Q39" s="0" t="n">
        <v>0.416666666666667</v>
      </c>
      <c r="R39" s="0" t="n">
        <v>0.416666666666667</v>
      </c>
      <c r="S39" s="0" t="n">
        <v>0</v>
      </c>
      <c r="T39" s="0" t="n">
        <v>0.583333333333333</v>
      </c>
      <c r="U39" s="0" t="n">
        <v>0.583333333333333</v>
      </c>
      <c r="V39" s="0" t="n">
        <v>0.166666666666667</v>
      </c>
    </row>
    <row r="40" customFormat="false" ht="12.8" hidden="false" customHeight="false" outlineLevel="0" collapsed="false">
      <c r="A40" s="0" t="n">
        <v>28.5</v>
      </c>
      <c r="B40" s="0" t="n">
        <v>5</v>
      </c>
      <c r="C40" s="0" t="n">
        <v>2.1</v>
      </c>
      <c r="D40" s="0" t="n">
        <v>4.1</v>
      </c>
      <c r="E40" s="0" t="n">
        <v>0.1</v>
      </c>
      <c r="F40" s="0" t="n">
        <v>0.1</v>
      </c>
      <c r="P40" s="0" t="n">
        <v>0.833333333333333</v>
      </c>
      <c r="Q40" s="0" t="n">
        <v>0.416666666666667</v>
      </c>
      <c r="R40" s="0" t="n">
        <v>0.416666666666667</v>
      </c>
      <c r="S40" s="0" t="n">
        <v>0</v>
      </c>
      <c r="T40" s="0" t="n">
        <v>0.583333333333333</v>
      </c>
      <c r="U40" s="0" t="n">
        <v>0.583333333333333</v>
      </c>
      <c r="V40" s="0" t="n">
        <v>0.166666666666667</v>
      </c>
    </row>
    <row r="41" customFormat="false" ht="12.8" hidden="false" customHeight="false" outlineLevel="0" collapsed="false">
      <c r="A41" s="0" t="n">
        <v>29</v>
      </c>
      <c r="B41" s="0" t="n">
        <v>6</v>
      </c>
      <c r="C41" s="0" t="n">
        <v>2.1</v>
      </c>
      <c r="D41" s="0" t="n">
        <v>6.1</v>
      </c>
      <c r="E41" s="0" t="n">
        <v>0.1</v>
      </c>
      <c r="F41" s="0" t="n">
        <v>0.1</v>
      </c>
      <c r="P41" s="0" t="n">
        <v>0.25</v>
      </c>
      <c r="Q41" s="0" t="n">
        <v>0.833333333333333</v>
      </c>
      <c r="R41" s="0" t="n">
        <v>0.416666666666667</v>
      </c>
      <c r="S41" s="0" t="n">
        <v>0</v>
      </c>
      <c r="T41" s="0" t="n">
        <v>0.583333333333333</v>
      </c>
      <c r="U41" s="0" t="n">
        <v>0.583333333333333</v>
      </c>
      <c r="V41" s="0" t="n">
        <v>1.167</v>
      </c>
    </row>
    <row r="42" customFormat="false" ht="12.8" hidden="false" customHeight="false" outlineLevel="0" collapsed="false">
      <c r="A42" s="0" t="n">
        <v>29.5</v>
      </c>
      <c r="B42" s="0" t="n">
        <v>6</v>
      </c>
      <c r="C42" s="0" t="n">
        <v>2.1</v>
      </c>
      <c r="D42" s="0" t="n">
        <v>6.1</v>
      </c>
      <c r="E42" s="0" t="n">
        <v>0.1</v>
      </c>
      <c r="F42" s="0" t="n">
        <v>0.1</v>
      </c>
      <c r="P42" s="0" t="n">
        <v>0.25</v>
      </c>
      <c r="Q42" s="0" t="n">
        <v>0.833333333333333</v>
      </c>
      <c r="R42" s="0" t="n">
        <v>0.416666666666667</v>
      </c>
      <c r="S42" s="0" t="n">
        <v>0</v>
      </c>
      <c r="T42" s="0" t="n">
        <v>0.583333333333333</v>
      </c>
      <c r="U42" s="0" t="n">
        <v>0.583333333333333</v>
      </c>
      <c r="V42" s="0" t="n">
        <v>1.167</v>
      </c>
    </row>
    <row r="43" customFormat="false" ht="12.8" hidden="false" customHeight="false" outlineLevel="0" collapsed="false">
      <c r="A43" s="0" t="n">
        <v>31</v>
      </c>
      <c r="B43" s="0" t="n">
        <v>7</v>
      </c>
      <c r="C43" s="0" t="n">
        <v>2.1</v>
      </c>
      <c r="D43" s="0" t="n">
        <v>8.1</v>
      </c>
      <c r="E43" s="0" t="n">
        <v>0.1</v>
      </c>
      <c r="F43" s="0" t="n">
        <v>0.1</v>
      </c>
      <c r="P43" s="0" t="n">
        <v>0.666666666666667</v>
      </c>
      <c r="Q43" s="0" t="n">
        <v>0.25</v>
      </c>
      <c r="R43" s="0" t="n">
        <v>0.833333333333333</v>
      </c>
      <c r="S43" s="0" t="n">
        <v>0.416666666666667</v>
      </c>
      <c r="T43" s="0" t="n">
        <v>0</v>
      </c>
      <c r="U43" s="0" t="n">
        <v>1.583</v>
      </c>
      <c r="V43" s="0" t="n">
        <v>1.167</v>
      </c>
    </row>
    <row r="44" customFormat="false" ht="12.8" hidden="false" customHeight="false" outlineLevel="0" collapsed="false">
      <c r="A44" s="0" t="n">
        <v>31.5</v>
      </c>
      <c r="B44" s="0" t="n">
        <v>7</v>
      </c>
      <c r="C44" s="0" t="n">
        <v>2.1</v>
      </c>
      <c r="D44" s="0" t="n">
        <v>8.1</v>
      </c>
      <c r="E44" s="0" t="n">
        <v>0.1</v>
      </c>
      <c r="F44" s="0" t="n">
        <v>0.1</v>
      </c>
      <c r="P44" s="0" t="n">
        <v>0.666666666666667</v>
      </c>
      <c r="Q44" s="0" t="n">
        <v>0.25</v>
      </c>
      <c r="R44" s="0" t="n">
        <v>0.833333333333333</v>
      </c>
      <c r="S44" s="0" t="n">
        <v>0.416666666666667</v>
      </c>
      <c r="T44" s="0" t="n">
        <v>0</v>
      </c>
      <c r="U44" s="0" t="n">
        <v>1.583</v>
      </c>
      <c r="V44" s="0" t="n">
        <v>1.167</v>
      </c>
    </row>
    <row r="45" customFormat="false" ht="12.8" hidden="false" customHeight="false" outlineLevel="0" collapsed="false">
      <c r="A45" s="0" t="n">
        <v>33</v>
      </c>
      <c r="B45" s="0" t="n">
        <v>6</v>
      </c>
      <c r="C45" s="0" t="n">
        <v>2.1</v>
      </c>
      <c r="D45" s="0" t="n">
        <v>0.1</v>
      </c>
      <c r="E45" s="0" t="n">
        <v>0.1</v>
      </c>
      <c r="F45" s="0" t="n">
        <v>2.1</v>
      </c>
      <c r="P45" s="0" t="n">
        <v>0.666666666666667</v>
      </c>
      <c r="Q45" s="0" t="n">
        <v>0.25</v>
      </c>
      <c r="R45" s="0" t="n">
        <v>0.833333333333333</v>
      </c>
      <c r="S45" s="0" t="n">
        <v>0</v>
      </c>
      <c r="T45" s="0" t="n">
        <v>0</v>
      </c>
      <c r="U45" s="0" t="n">
        <v>1.583</v>
      </c>
      <c r="V45" s="0" t="n">
        <v>1.167</v>
      </c>
    </row>
    <row r="46" customFormat="false" ht="12.8" hidden="false" customHeight="false" outlineLevel="0" collapsed="false">
      <c r="A46" s="0" t="n">
        <v>33.5</v>
      </c>
      <c r="B46" s="0" t="n">
        <v>6</v>
      </c>
      <c r="C46" s="0" t="n">
        <v>2.1</v>
      </c>
      <c r="D46" s="0" t="n">
        <v>0.1</v>
      </c>
      <c r="E46" s="0" t="n">
        <v>0.1</v>
      </c>
      <c r="F46" s="0" t="n">
        <v>2.1</v>
      </c>
      <c r="P46" s="0" t="n">
        <v>0.666666666666667</v>
      </c>
      <c r="Q46" s="0" t="n">
        <v>0.25</v>
      </c>
      <c r="R46" s="0" t="n">
        <v>0.833333333333333</v>
      </c>
      <c r="S46" s="0" t="n">
        <v>0</v>
      </c>
      <c r="T46" s="0" t="n">
        <v>0</v>
      </c>
      <c r="U46" s="0" t="n">
        <v>1.583</v>
      </c>
      <c r="V46" s="0" t="n">
        <v>1.167</v>
      </c>
    </row>
    <row r="47" customFormat="false" ht="12.8" hidden="false" customHeight="false" outlineLevel="0" collapsed="false">
      <c r="A47" s="0" t="n">
        <v>34</v>
      </c>
      <c r="B47" s="0" t="n">
        <v>2</v>
      </c>
      <c r="C47" s="0" t="n">
        <v>1.1</v>
      </c>
      <c r="D47" s="0" t="n">
        <v>0.1</v>
      </c>
      <c r="E47" s="0" t="n">
        <v>0.1</v>
      </c>
      <c r="F47" s="0" t="n">
        <v>0.1</v>
      </c>
      <c r="P47" s="0" t="n">
        <v>0</v>
      </c>
      <c r="Q47" s="0" t="n">
        <v>0</v>
      </c>
      <c r="R47" s="0" t="n">
        <v>0</v>
      </c>
      <c r="S47" s="0" t="n">
        <v>0.583333333333333</v>
      </c>
      <c r="T47" s="0" t="n">
        <v>0.583333333333333</v>
      </c>
      <c r="U47" s="0" t="n">
        <v>0.583333333333333</v>
      </c>
      <c r="V47" s="0" t="n">
        <v>0.583333333333333</v>
      </c>
    </row>
    <row r="48" customFormat="false" ht="12.8" hidden="false" customHeight="false" outlineLevel="0" collapsed="false">
      <c r="A48" s="0" t="n">
        <v>34.5</v>
      </c>
      <c r="B48" s="0" t="n">
        <v>2</v>
      </c>
      <c r="C48" s="0" t="n">
        <v>1.1</v>
      </c>
      <c r="D48" s="0" t="n">
        <v>0.1</v>
      </c>
      <c r="E48" s="0" t="n">
        <v>0.1</v>
      </c>
      <c r="F48" s="0" t="n">
        <v>0.1</v>
      </c>
      <c r="P48" s="0" t="n">
        <v>0</v>
      </c>
      <c r="Q48" s="0" t="n">
        <v>0</v>
      </c>
      <c r="R48" s="0" t="n">
        <v>0</v>
      </c>
      <c r="S48" s="0" t="n">
        <v>0.583333333333333</v>
      </c>
      <c r="T48" s="0" t="n">
        <v>0.583333333333333</v>
      </c>
      <c r="U48" s="0" t="n">
        <v>0.583333333333333</v>
      </c>
      <c r="V48" s="0" t="n">
        <v>0.583333333333333</v>
      </c>
    </row>
    <row r="49" customFormat="false" ht="12.8" hidden="false" customHeight="false" outlineLevel="0" collapsed="false">
      <c r="A49" s="0" t="n">
        <v>35</v>
      </c>
      <c r="B49" s="0" t="n">
        <v>3</v>
      </c>
      <c r="C49" s="0" t="n">
        <v>1.1</v>
      </c>
      <c r="D49" s="0" t="n">
        <v>2.1</v>
      </c>
      <c r="E49" s="0" t="n">
        <v>0.1</v>
      </c>
      <c r="F49" s="0" t="n">
        <v>0.1</v>
      </c>
      <c r="P49" s="0" t="n">
        <v>0.416666666666667</v>
      </c>
      <c r="Q49" s="0" t="n">
        <v>0.416666666666667</v>
      </c>
      <c r="R49" s="0" t="n">
        <v>0</v>
      </c>
      <c r="S49" s="0" t="n">
        <v>0</v>
      </c>
      <c r="T49" s="0" t="n">
        <v>0</v>
      </c>
      <c r="U49" s="0" t="n">
        <v>0.583333333333333</v>
      </c>
      <c r="V49" s="0" t="n">
        <v>0.583333333333333</v>
      </c>
    </row>
    <row r="50" customFormat="false" ht="12.8" hidden="false" customHeight="false" outlineLevel="0" collapsed="false">
      <c r="A50" s="0" t="n">
        <v>35.5</v>
      </c>
      <c r="B50" s="0" t="n">
        <v>3</v>
      </c>
      <c r="C50" s="0" t="n">
        <v>1.1</v>
      </c>
      <c r="D50" s="0" t="n">
        <v>2.1</v>
      </c>
      <c r="E50" s="0" t="n">
        <v>0.1</v>
      </c>
      <c r="F50" s="0" t="n">
        <v>0.1</v>
      </c>
      <c r="P50" s="0" t="n">
        <v>0.416666666666667</v>
      </c>
      <c r="Q50" s="0" t="n">
        <v>0.416666666666667</v>
      </c>
      <c r="R50" s="0" t="n">
        <v>0</v>
      </c>
      <c r="S50" s="0" t="n">
        <v>0</v>
      </c>
      <c r="T50" s="0" t="n">
        <v>0</v>
      </c>
      <c r="U50" s="0" t="n">
        <v>0.583333333333333</v>
      </c>
      <c r="V50" s="0" t="n">
        <v>0.583333333333333</v>
      </c>
    </row>
    <row r="51" customFormat="false" ht="12.8" hidden="false" customHeight="true" outlineLevel="0" collapsed="false">
      <c r="A51" s="0" t="n">
        <v>36</v>
      </c>
      <c r="B51" s="0" t="n">
        <v>4</v>
      </c>
      <c r="C51" s="0" t="n">
        <v>1.1</v>
      </c>
      <c r="D51" s="0" t="n">
        <v>4.1</v>
      </c>
      <c r="E51" s="0" t="n">
        <v>0.1</v>
      </c>
      <c r="F51" s="0" t="n">
        <v>0.1</v>
      </c>
      <c r="P51" s="0" t="n">
        <v>0.833333333333333</v>
      </c>
      <c r="Q51" s="0" t="n">
        <v>0.833333333333333</v>
      </c>
      <c r="R51" s="0" t="n">
        <v>0.416666666666667</v>
      </c>
      <c r="S51" s="0" t="n">
        <v>0.416666666666667</v>
      </c>
      <c r="T51" s="0" t="n">
        <v>0</v>
      </c>
      <c r="U51" s="0" t="n">
        <v>0</v>
      </c>
      <c r="V51" s="0" t="n">
        <v>0.583333333333333</v>
      </c>
    </row>
    <row r="52" customFormat="false" ht="12.8" hidden="false" customHeight="false" outlineLevel="0" collapsed="false">
      <c r="A52" s="0" t="n">
        <v>36.5</v>
      </c>
      <c r="B52" s="0" t="n">
        <v>4</v>
      </c>
      <c r="C52" s="0" t="n">
        <v>1.1</v>
      </c>
      <c r="D52" s="0" t="n">
        <v>4.1</v>
      </c>
      <c r="E52" s="0" t="n">
        <v>0.1</v>
      </c>
      <c r="F52" s="0" t="n">
        <v>0.1</v>
      </c>
      <c r="P52" s="0" t="n">
        <v>0.833333333333333</v>
      </c>
      <c r="Q52" s="0" t="n">
        <v>0.833333333333333</v>
      </c>
      <c r="R52" s="0" t="n">
        <v>0.416666666666667</v>
      </c>
      <c r="S52" s="0" t="n">
        <v>0.416666666666667</v>
      </c>
      <c r="T52" s="0" t="n">
        <v>0</v>
      </c>
      <c r="U52" s="0" t="n">
        <v>0</v>
      </c>
      <c r="V52" s="0" t="n">
        <v>0.583333333333333</v>
      </c>
    </row>
    <row r="53" customFormat="false" ht="12.8" hidden="false" customHeight="false" outlineLevel="0" collapsed="false">
      <c r="A53" s="0" t="n">
        <v>37</v>
      </c>
      <c r="B53" s="0" t="n">
        <v>5</v>
      </c>
      <c r="C53" s="0" t="n">
        <v>1.1</v>
      </c>
      <c r="D53" s="0" t="n">
        <v>6.1</v>
      </c>
      <c r="E53" s="0" t="n">
        <v>0.1</v>
      </c>
      <c r="F53" s="0" t="n">
        <v>0.1</v>
      </c>
      <c r="P53" s="0" t="n">
        <v>0.25</v>
      </c>
      <c r="Q53" s="0" t="n">
        <v>0.833333333333333</v>
      </c>
      <c r="R53" s="0" t="n">
        <v>0.833333333333333</v>
      </c>
      <c r="S53" s="0" t="n">
        <v>0.416666666666667</v>
      </c>
      <c r="T53" s="0" t="n">
        <v>0</v>
      </c>
      <c r="U53" s="0" t="n">
        <v>0</v>
      </c>
      <c r="V53" s="0" t="n">
        <v>0.583333333333333</v>
      </c>
    </row>
    <row r="54" customFormat="false" ht="12.8" hidden="false" customHeight="false" outlineLevel="0" collapsed="false">
      <c r="A54" s="0" t="n">
        <v>37.5</v>
      </c>
      <c r="B54" s="0" t="n">
        <v>5</v>
      </c>
      <c r="C54" s="0" t="n">
        <v>1.1</v>
      </c>
      <c r="D54" s="0" t="n">
        <v>6.1</v>
      </c>
      <c r="E54" s="0" t="n">
        <v>0.1</v>
      </c>
      <c r="F54" s="0" t="n">
        <v>0.1</v>
      </c>
      <c r="P54" s="0" t="n">
        <v>0.25</v>
      </c>
      <c r="Q54" s="0" t="n">
        <v>0.833333333333333</v>
      </c>
      <c r="R54" s="0" t="n">
        <v>0.833333333333333</v>
      </c>
      <c r="S54" s="0" t="n">
        <v>0.416666666666667</v>
      </c>
      <c r="T54" s="0" t="n">
        <v>0</v>
      </c>
      <c r="U54" s="0" t="n">
        <v>0</v>
      </c>
      <c r="V54" s="0" t="n">
        <v>0.583333333333333</v>
      </c>
    </row>
    <row r="55" customFormat="false" ht="12.8" hidden="false" customHeight="false" outlineLevel="0" collapsed="false">
      <c r="A55" s="0" t="n">
        <v>39</v>
      </c>
      <c r="B55" s="0" t="n">
        <v>6</v>
      </c>
      <c r="C55" s="0" t="n">
        <v>1.1</v>
      </c>
      <c r="D55" s="0" t="n">
        <v>8.1</v>
      </c>
      <c r="E55" s="0" t="n">
        <v>0.1</v>
      </c>
      <c r="F55" s="0" t="n">
        <v>0.1</v>
      </c>
      <c r="P55" s="0" t="n">
        <v>0.666666666666667</v>
      </c>
      <c r="Q55" s="0" t="n">
        <v>0.25</v>
      </c>
      <c r="R55" s="0" t="n">
        <v>0.833333333333333</v>
      </c>
      <c r="S55" s="0" t="n">
        <v>0.416666666666667</v>
      </c>
      <c r="T55" s="0" t="n">
        <v>0</v>
      </c>
      <c r="U55" s="0" t="n">
        <v>1.583</v>
      </c>
      <c r="V55" s="0" t="n">
        <v>1.583</v>
      </c>
    </row>
    <row r="56" customFormat="false" ht="12.8" hidden="false" customHeight="false" outlineLevel="0" collapsed="false">
      <c r="A56" s="0" t="n">
        <v>39.5</v>
      </c>
      <c r="B56" s="0" t="n">
        <v>6</v>
      </c>
      <c r="C56" s="0" t="n">
        <v>1.1</v>
      </c>
      <c r="D56" s="0" t="n">
        <v>8.1</v>
      </c>
      <c r="E56" s="0" t="n">
        <v>0.1</v>
      </c>
      <c r="F56" s="0" t="n">
        <v>0.1</v>
      </c>
      <c r="P56" s="0" t="n">
        <v>0.666666666666667</v>
      </c>
      <c r="Q56" s="0" t="n">
        <v>0.25</v>
      </c>
      <c r="R56" s="0" t="n">
        <v>0.833333333333333</v>
      </c>
      <c r="S56" s="0" t="n">
        <v>0.416666666666667</v>
      </c>
      <c r="T56" s="0" t="n">
        <v>0</v>
      </c>
      <c r="U56" s="0" t="n">
        <v>1.583</v>
      </c>
      <c r="V56" s="0" t="n">
        <v>1.583</v>
      </c>
    </row>
    <row r="57" customFormat="false" ht="12.8" hidden="false" customHeight="false" outlineLevel="0" collapsed="false">
      <c r="A57" s="0" t="n">
        <v>40</v>
      </c>
      <c r="B57" s="0" t="n">
        <v>4</v>
      </c>
      <c r="C57" s="0" t="n">
        <v>1.1</v>
      </c>
      <c r="D57" s="0" t="n">
        <v>0.1</v>
      </c>
      <c r="E57" s="0" t="n">
        <v>0.1</v>
      </c>
      <c r="F57" s="0" t="n">
        <v>2.1</v>
      </c>
      <c r="P57" s="0" t="n">
        <v>0.666666666666667</v>
      </c>
      <c r="Q57" s="0" t="n">
        <v>0.666666666666667</v>
      </c>
      <c r="R57" s="0" t="n">
        <v>0.25</v>
      </c>
      <c r="S57" s="0" t="n">
        <v>0.25</v>
      </c>
      <c r="T57" s="0" t="n">
        <v>0</v>
      </c>
      <c r="U57" s="0" t="n">
        <v>0</v>
      </c>
      <c r="V57" s="0" t="n">
        <v>1.583</v>
      </c>
    </row>
    <row r="58" customFormat="false" ht="12.8" hidden="false" customHeight="false" outlineLevel="0" collapsed="false">
      <c r="A58" s="0" t="n">
        <v>40.5</v>
      </c>
      <c r="B58" s="0" t="n">
        <v>4</v>
      </c>
      <c r="C58" s="0" t="n">
        <v>1.1</v>
      </c>
      <c r="D58" s="0" t="n">
        <v>0.1</v>
      </c>
      <c r="E58" s="0" t="n">
        <v>0.1</v>
      </c>
      <c r="F58" s="0" t="n">
        <v>2.1</v>
      </c>
      <c r="P58" s="0" t="n">
        <v>0.666666666666667</v>
      </c>
      <c r="Q58" s="0" t="n">
        <v>0.666666666666667</v>
      </c>
      <c r="R58" s="0" t="n">
        <v>0.25</v>
      </c>
      <c r="S58" s="0" t="n">
        <v>0.25</v>
      </c>
      <c r="T58" s="0" t="n">
        <v>0</v>
      </c>
      <c r="U58" s="0" t="n">
        <v>0</v>
      </c>
      <c r="V58" s="0" t="n">
        <v>1.583</v>
      </c>
    </row>
    <row r="59" customFormat="false" ht="12.8" hidden="false" customHeight="false" outlineLevel="0" collapsed="false">
      <c r="A59" s="0" t="n">
        <v>42</v>
      </c>
      <c r="B59" s="0" t="n">
        <v>7</v>
      </c>
      <c r="C59" s="0" t="n">
        <v>1.1</v>
      </c>
      <c r="D59" s="0" t="n">
        <v>10.1</v>
      </c>
      <c r="E59" s="0" t="n">
        <v>0.1</v>
      </c>
      <c r="F59" s="0" t="n">
        <v>0.1</v>
      </c>
      <c r="P59" s="0" t="n">
        <v>0.0833333333333333</v>
      </c>
      <c r="Q59" s="0" t="n">
        <v>0.666666666666667</v>
      </c>
      <c r="R59" s="0" t="n">
        <v>0.25</v>
      </c>
      <c r="S59" s="0" t="n">
        <v>0.833333333333333</v>
      </c>
      <c r="T59" s="0" t="n">
        <v>0.416666666666667</v>
      </c>
      <c r="U59" s="0" t="n">
        <v>1</v>
      </c>
      <c r="V59" s="0" t="n">
        <v>1.583</v>
      </c>
    </row>
    <row r="60" customFormat="false" ht="12.8" hidden="false" customHeight="false" outlineLevel="0" collapsed="false">
      <c r="A60" s="0" t="n">
        <v>42.5</v>
      </c>
      <c r="B60" s="0" t="n">
        <v>7</v>
      </c>
      <c r="C60" s="0" t="n">
        <v>1.1</v>
      </c>
      <c r="D60" s="0" t="n">
        <v>10.1</v>
      </c>
      <c r="E60" s="0" t="n">
        <v>0.1</v>
      </c>
      <c r="F60" s="0" t="n">
        <v>0.1</v>
      </c>
      <c r="P60" s="0" t="n">
        <v>0.0833333333333333</v>
      </c>
      <c r="Q60" s="0" t="n">
        <v>0.666666666666667</v>
      </c>
      <c r="R60" s="0" t="n">
        <v>0.25</v>
      </c>
      <c r="S60" s="0" t="n">
        <v>0.833333333333333</v>
      </c>
      <c r="T60" s="0" t="n">
        <v>0.416666666666667</v>
      </c>
      <c r="U60" s="0" t="n">
        <v>1</v>
      </c>
      <c r="V60" s="0" t="n">
        <v>1.583</v>
      </c>
    </row>
    <row r="61" customFormat="false" ht="12.8" hidden="false" customHeight="false" outlineLevel="0" collapsed="false">
      <c r="A61" s="0" t="n">
        <v>43</v>
      </c>
      <c r="B61" s="0" t="n">
        <v>6</v>
      </c>
      <c r="C61" s="0" t="n">
        <v>1.1</v>
      </c>
      <c r="D61" s="0" t="n">
        <v>2.1</v>
      </c>
      <c r="E61" s="0" t="n">
        <v>0.1</v>
      </c>
      <c r="F61" s="0" t="n">
        <v>2.1</v>
      </c>
      <c r="P61" s="0" t="n">
        <v>0.0833333333333333</v>
      </c>
      <c r="Q61" s="0" t="n">
        <v>0.666666666666667</v>
      </c>
      <c r="R61" s="0" t="n">
        <v>0.25</v>
      </c>
      <c r="S61" s="0" t="n">
        <v>0.416666666666667</v>
      </c>
      <c r="T61" s="0" t="n">
        <v>0.416666666666667</v>
      </c>
      <c r="U61" s="0" t="n">
        <v>1</v>
      </c>
      <c r="V61" s="0" t="n">
        <v>1.583</v>
      </c>
    </row>
    <row r="62" customFormat="false" ht="12.8" hidden="false" customHeight="false" outlineLevel="0" collapsed="false">
      <c r="A62" s="0" t="n">
        <v>43.5</v>
      </c>
      <c r="B62" s="0" t="n">
        <v>6</v>
      </c>
      <c r="C62" s="0" t="n">
        <v>1.1</v>
      </c>
      <c r="D62" s="0" t="n">
        <v>2.1</v>
      </c>
      <c r="E62" s="0" t="n">
        <v>0.1</v>
      </c>
      <c r="F62" s="0" t="n">
        <v>2.1</v>
      </c>
      <c r="P62" s="0" t="n">
        <v>0.0833333333333333</v>
      </c>
      <c r="Q62" s="0" t="n">
        <v>0.666666666666667</v>
      </c>
      <c r="R62" s="0" t="n">
        <v>0.25</v>
      </c>
      <c r="S62" s="0" t="n">
        <v>0.416666666666667</v>
      </c>
      <c r="T62" s="0" t="n">
        <v>0.416666666666667</v>
      </c>
      <c r="U62" s="0" t="n">
        <v>1</v>
      </c>
      <c r="V62" s="0" t="n">
        <v>1.583</v>
      </c>
    </row>
    <row r="63" customFormat="false" ht="12.8" hidden="false" customHeight="false" outlineLevel="0" collapsed="false">
      <c r="A63" s="0" t="n">
        <v>45</v>
      </c>
      <c r="B63" s="0" t="n">
        <v>2</v>
      </c>
      <c r="C63" s="0" t="n">
        <v>0.1</v>
      </c>
      <c r="D63" s="0" t="n">
        <v>2.1</v>
      </c>
      <c r="E63" s="0" t="n">
        <v>0.1</v>
      </c>
      <c r="F63" s="0" t="n">
        <v>0.1</v>
      </c>
      <c r="P63" s="0" t="n">
        <v>0.416666666666667</v>
      </c>
      <c r="Q63" s="0" t="n">
        <v>0.416666666666667</v>
      </c>
      <c r="R63" s="0" t="n">
        <v>0.416666666666667</v>
      </c>
      <c r="S63" s="0" t="n">
        <v>0.416666666666667</v>
      </c>
      <c r="T63" s="0" t="n">
        <v>0</v>
      </c>
      <c r="U63" s="0" t="n">
        <v>0</v>
      </c>
      <c r="V63" s="0" t="n">
        <v>0</v>
      </c>
    </row>
    <row r="64" customFormat="false" ht="12.8" hidden="false" customHeight="false" outlineLevel="0" collapsed="false">
      <c r="A64" s="0" t="n">
        <v>45.5</v>
      </c>
      <c r="B64" s="0" t="n">
        <v>2</v>
      </c>
      <c r="C64" s="0" t="n">
        <v>0.1</v>
      </c>
      <c r="D64" s="0" t="n">
        <v>2.1</v>
      </c>
      <c r="E64" s="0" t="n">
        <v>0.1</v>
      </c>
      <c r="F64" s="0" t="n">
        <v>0.1</v>
      </c>
      <c r="P64" s="0" t="n">
        <v>0.416666666666667</v>
      </c>
      <c r="Q64" s="0" t="n">
        <v>0.416666666666667</v>
      </c>
      <c r="R64" s="0" t="n">
        <v>0.416666666666667</v>
      </c>
      <c r="S64" s="0" t="n">
        <v>0.416666666666667</v>
      </c>
      <c r="T64" s="0" t="n">
        <v>0</v>
      </c>
      <c r="U64" s="0" t="n">
        <v>0</v>
      </c>
      <c r="V64" s="0" t="n">
        <v>0</v>
      </c>
    </row>
    <row r="65" customFormat="false" ht="12.8" hidden="false" customHeight="false" outlineLevel="0" collapsed="false">
      <c r="A65" s="0" t="n">
        <v>46</v>
      </c>
      <c r="B65" s="0" t="n">
        <v>3</v>
      </c>
      <c r="C65" s="0" t="n">
        <v>0.1</v>
      </c>
      <c r="D65" s="0" t="n">
        <v>4.1</v>
      </c>
      <c r="E65" s="0" t="n">
        <v>0.1</v>
      </c>
      <c r="F65" s="0" t="n">
        <v>0.1</v>
      </c>
      <c r="P65" s="0" t="n">
        <v>0.833333333333333</v>
      </c>
      <c r="Q65" s="0" t="n">
        <v>0.833333333333333</v>
      </c>
      <c r="R65" s="0" t="n">
        <v>0.416666666666667</v>
      </c>
      <c r="S65" s="0" t="n">
        <v>0.416666666666667</v>
      </c>
      <c r="T65" s="0" t="n">
        <v>0.416666666666667</v>
      </c>
      <c r="U65" s="0" t="n">
        <v>0</v>
      </c>
      <c r="V65" s="0" t="n">
        <v>0</v>
      </c>
    </row>
    <row r="66" customFormat="false" ht="12.8" hidden="false" customHeight="false" outlineLevel="0" collapsed="false">
      <c r="A66" s="0" t="n">
        <v>46.5</v>
      </c>
      <c r="B66" s="0" t="n">
        <v>3</v>
      </c>
      <c r="C66" s="0" t="n">
        <v>0.1</v>
      </c>
      <c r="D66" s="0" t="n">
        <v>4.1</v>
      </c>
      <c r="E66" s="0" t="n">
        <v>0.1</v>
      </c>
      <c r="F66" s="0" t="n">
        <v>0.1</v>
      </c>
      <c r="P66" s="0" t="n">
        <v>0.833333333333333</v>
      </c>
      <c r="Q66" s="0" t="n">
        <v>0.833333333333333</v>
      </c>
      <c r="R66" s="0" t="n">
        <v>0.416666666666667</v>
      </c>
      <c r="S66" s="0" t="n">
        <v>0.416666666666667</v>
      </c>
      <c r="T66" s="0" t="n">
        <v>0.416666666666667</v>
      </c>
      <c r="U66" s="0" t="n">
        <v>0</v>
      </c>
      <c r="V66" s="0" t="n">
        <v>0</v>
      </c>
    </row>
    <row r="67" customFormat="false" ht="12.8" hidden="false" customHeight="false" outlineLevel="0" collapsed="false">
      <c r="A67" s="0" t="n">
        <v>47</v>
      </c>
      <c r="B67" s="0" t="n">
        <v>4</v>
      </c>
      <c r="C67" s="0" t="n">
        <v>0.1</v>
      </c>
      <c r="D67" s="0" t="n">
        <v>6.1</v>
      </c>
      <c r="E67" s="0" t="n">
        <v>0.1</v>
      </c>
      <c r="F67" s="0" t="n">
        <v>0.1</v>
      </c>
      <c r="P67" s="0" t="n">
        <v>0.25</v>
      </c>
      <c r="Q67" s="0" t="n">
        <v>0.25</v>
      </c>
      <c r="R67" s="0" t="n">
        <v>0.833333333333333</v>
      </c>
      <c r="S67" s="0" t="n">
        <v>0.833333333333333</v>
      </c>
      <c r="T67" s="0" t="n">
        <v>0.416666666666667</v>
      </c>
      <c r="U67" s="0" t="n">
        <v>0.416666666666667</v>
      </c>
      <c r="V67" s="0" t="n">
        <v>0</v>
      </c>
    </row>
    <row r="68" customFormat="false" ht="12.8" hidden="false" customHeight="false" outlineLevel="0" collapsed="false">
      <c r="A68" s="0" t="n">
        <v>47.5</v>
      </c>
      <c r="B68" s="0" t="n">
        <v>4</v>
      </c>
      <c r="C68" s="0" t="n">
        <v>0.1</v>
      </c>
      <c r="D68" s="0" t="n">
        <v>6.1</v>
      </c>
      <c r="E68" s="0" t="n">
        <v>0.1</v>
      </c>
      <c r="F68" s="0" t="n">
        <v>0.1</v>
      </c>
      <c r="P68" s="0" t="n">
        <v>0.25</v>
      </c>
      <c r="Q68" s="0" t="n">
        <v>0.25</v>
      </c>
      <c r="R68" s="0" t="n">
        <v>0.833333333333333</v>
      </c>
      <c r="S68" s="0" t="n">
        <v>0.833333333333333</v>
      </c>
      <c r="T68" s="0" t="n">
        <v>0.416666666666667</v>
      </c>
      <c r="U68" s="0" t="n">
        <v>0.416666666666667</v>
      </c>
      <c r="V68" s="0" t="n">
        <v>0</v>
      </c>
    </row>
    <row r="69" customFormat="false" ht="12.8" hidden="false" customHeight="false" outlineLevel="0" collapsed="false">
      <c r="A69" s="0" t="n">
        <v>48</v>
      </c>
      <c r="B69" s="0" t="n">
        <v>5</v>
      </c>
      <c r="C69" s="0" t="n">
        <v>0.1</v>
      </c>
      <c r="D69" s="0" t="n">
        <v>8.1</v>
      </c>
      <c r="E69" s="0" t="n">
        <v>0.1</v>
      </c>
      <c r="F69" s="0" t="n">
        <v>0.1</v>
      </c>
      <c r="P69" s="0" t="n">
        <v>0.666666666666667</v>
      </c>
      <c r="Q69" s="0" t="n">
        <v>0.25</v>
      </c>
      <c r="R69" s="0" t="n">
        <v>0.25</v>
      </c>
      <c r="S69" s="0" t="n">
        <v>0.833333333333333</v>
      </c>
      <c r="T69" s="0" t="n">
        <v>0.416666666666667</v>
      </c>
      <c r="U69" s="0" t="n">
        <v>0.416666666666667</v>
      </c>
      <c r="V69" s="0" t="n">
        <v>0</v>
      </c>
    </row>
    <row r="70" customFormat="false" ht="12.8" hidden="false" customHeight="false" outlineLevel="0" collapsed="false">
      <c r="A70" s="0" t="n">
        <v>48.5</v>
      </c>
      <c r="B70" s="0" t="n">
        <v>5</v>
      </c>
      <c r="C70" s="0" t="n">
        <v>0.1</v>
      </c>
      <c r="D70" s="0" t="n">
        <v>8.1</v>
      </c>
      <c r="E70" s="0" t="n">
        <v>0.1</v>
      </c>
      <c r="F70" s="0" t="n">
        <v>0.1</v>
      </c>
      <c r="P70" s="0" t="n">
        <v>0.666666666666667</v>
      </c>
      <c r="Q70" s="0" t="n">
        <v>0.25</v>
      </c>
      <c r="R70" s="0" t="n">
        <v>0.25</v>
      </c>
      <c r="S70" s="0" t="n">
        <v>0.833333333333333</v>
      </c>
      <c r="T70" s="0" t="n">
        <v>0.416666666666667</v>
      </c>
      <c r="U70" s="0" t="n">
        <v>0.416666666666667</v>
      </c>
      <c r="V70" s="0" t="n">
        <v>0</v>
      </c>
    </row>
    <row r="71" customFormat="false" ht="12.8" hidden="false" customHeight="false" outlineLevel="0" collapsed="false">
      <c r="A71" s="0" t="n">
        <v>50</v>
      </c>
      <c r="B71" s="0" t="n">
        <v>6</v>
      </c>
      <c r="C71" s="0" t="n">
        <v>0.1</v>
      </c>
      <c r="D71" s="0" t="n">
        <v>10.1</v>
      </c>
      <c r="E71" s="0" t="n">
        <v>0.1</v>
      </c>
      <c r="F71" s="0" t="n">
        <v>0.1</v>
      </c>
      <c r="P71" s="0" t="n">
        <v>0.0833333333333333</v>
      </c>
      <c r="Q71" s="0" t="n">
        <v>0.666666666666667</v>
      </c>
      <c r="R71" s="0" t="n">
        <v>0.25</v>
      </c>
      <c r="S71" s="0" t="n">
        <v>0.833333333333333</v>
      </c>
      <c r="T71" s="0" t="n">
        <v>0.416666666666667</v>
      </c>
      <c r="U71" s="0" t="n">
        <v>0.416666666666667</v>
      </c>
      <c r="V71" s="0" t="n">
        <v>1</v>
      </c>
    </row>
    <row r="72" customFormat="false" ht="12.8" hidden="false" customHeight="false" outlineLevel="0" collapsed="false">
      <c r="A72" s="0" t="n">
        <v>50.5</v>
      </c>
      <c r="B72" s="0" t="n">
        <v>6</v>
      </c>
      <c r="C72" s="0" t="n">
        <v>0.1</v>
      </c>
      <c r="D72" s="0" t="n">
        <v>10.1</v>
      </c>
      <c r="E72" s="0" t="n">
        <v>0.1</v>
      </c>
      <c r="F72" s="0" t="n">
        <v>0.1</v>
      </c>
      <c r="P72" s="0" t="n">
        <v>0.0833333333333333</v>
      </c>
      <c r="Q72" s="0" t="n">
        <v>0.666666666666667</v>
      </c>
      <c r="R72" s="0" t="n">
        <v>0.25</v>
      </c>
      <c r="S72" s="0" t="n">
        <v>0.833333333333333</v>
      </c>
      <c r="T72" s="0" t="n">
        <v>0.416666666666667</v>
      </c>
      <c r="U72" s="0" t="n">
        <v>0.416666666666667</v>
      </c>
      <c r="V72" s="0" t="n">
        <v>1</v>
      </c>
    </row>
    <row r="73" customFormat="false" ht="12.8" hidden="false" customHeight="false" outlineLevel="0" collapsed="false">
      <c r="A73" s="0" t="n">
        <v>51</v>
      </c>
      <c r="B73" s="0" t="n">
        <v>4</v>
      </c>
      <c r="C73" s="0" t="n">
        <v>0.1</v>
      </c>
      <c r="D73" s="0" t="n">
        <v>2.1</v>
      </c>
      <c r="E73" s="0" t="n">
        <v>0.1</v>
      </c>
      <c r="F73" s="0" t="n">
        <v>2.1</v>
      </c>
      <c r="P73" s="0" t="n">
        <v>0.0833333333333333</v>
      </c>
      <c r="Q73" s="0" t="n">
        <v>0.666666666666667</v>
      </c>
      <c r="R73" s="0" t="n">
        <v>0.666666666666667</v>
      </c>
      <c r="S73" s="0" t="n">
        <v>0.416666666666667</v>
      </c>
      <c r="T73" s="0" t="n">
        <v>0.416666666666667</v>
      </c>
      <c r="U73" s="0" t="n">
        <v>1</v>
      </c>
      <c r="V73" s="0" t="n">
        <v>1</v>
      </c>
    </row>
    <row r="74" customFormat="false" ht="12.8" hidden="false" customHeight="false" outlineLevel="0" collapsed="false">
      <c r="A74" s="0" t="n">
        <v>51.5</v>
      </c>
      <c r="B74" s="0" t="n">
        <v>4</v>
      </c>
      <c r="C74" s="0" t="n">
        <v>0.1</v>
      </c>
      <c r="D74" s="0" t="n">
        <v>2.1</v>
      </c>
      <c r="E74" s="0" t="n">
        <v>0.1</v>
      </c>
      <c r="F74" s="0" t="n">
        <v>2.1</v>
      </c>
      <c r="P74" s="0" t="n">
        <v>0.0833333333333333</v>
      </c>
      <c r="Q74" s="0" t="n">
        <v>0.666666666666667</v>
      </c>
      <c r="R74" s="0" t="n">
        <v>0.666666666666667</v>
      </c>
      <c r="S74" s="0" t="n">
        <v>0.416666666666667</v>
      </c>
      <c r="T74" s="0" t="n">
        <v>0.416666666666667</v>
      </c>
      <c r="U74" s="0" t="n">
        <v>1</v>
      </c>
      <c r="V74" s="0" t="n">
        <v>1</v>
      </c>
    </row>
    <row r="75" customFormat="false" ht="12.8" hidden="false" customHeight="false" outlineLevel="0" collapsed="false">
      <c r="A75" s="0" t="n">
        <v>54</v>
      </c>
      <c r="B75" s="0" t="n">
        <v>6</v>
      </c>
      <c r="C75" s="0" t="n">
        <v>0.1</v>
      </c>
      <c r="D75" s="0" t="n">
        <v>4.1</v>
      </c>
      <c r="E75" s="0" t="n">
        <v>0.1</v>
      </c>
      <c r="F75" s="0" t="n">
        <v>2.1</v>
      </c>
      <c r="P75" s="0" t="n">
        <v>0.5</v>
      </c>
      <c r="Q75" s="0" t="n">
        <v>0.0833333333333333</v>
      </c>
      <c r="R75" s="0" t="n">
        <v>0.666666666666667</v>
      </c>
      <c r="S75" s="0" t="n">
        <v>0.833333333333333</v>
      </c>
      <c r="T75" s="0" t="n">
        <v>0.833333333333333</v>
      </c>
      <c r="U75" s="0" t="n">
        <v>1.417</v>
      </c>
      <c r="V75" s="0" t="n">
        <v>1</v>
      </c>
    </row>
    <row r="76" customFormat="false" ht="12.8" hidden="false" customHeight="false" outlineLevel="0" collapsed="false">
      <c r="A76" s="0" t="n">
        <v>54.5</v>
      </c>
      <c r="B76" s="0" t="n">
        <v>6</v>
      </c>
      <c r="C76" s="0" t="n">
        <v>0.1</v>
      </c>
      <c r="D76" s="0" t="n">
        <v>4.1</v>
      </c>
      <c r="E76" s="0" t="n">
        <v>0.1</v>
      </c>
      <c r="F76" s="0" t="n">
        <v>2.1</v>
      </c>
      <c r="P76" s="0" t="n">
        <v>0.5</v>
      </c>
      <c r="Q76" s="0" t="n">
        <v>0.0833333333333333</v>
      </c>
      <c r="R76" s="0" t="n">
        <v>0.666666666666667</v>
      </c>
      <c r="S76" s="0" t="n">
        <v>0.833333333333333</v>
      </c>
      <c r="T76" s="0" t="n">
        <v>0.833333333333333</v>
      </c>
      <c r="U76" s="0" t="n">
        <v>1.417</v>
      </c>
      <c r="V76" s="0" t="n">
        <v>1</v>
      </c>
    </row>
  </sheetData>
  <autoFilter ref="A4:V76"/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3:DE86"/>
  <sheetViews>
    <sheetView showFormulas="false" showGridLines="true" showRowColHeaders="true" showZeros="true" rightToLeft="false" tabSelected="false" showOutlineSymbols="true" defaultGridColor="true" view="normal" topLeftCell="V62" colorId="64" zoomScale="90" zoomScaleNormal="90" zoomScalePageLayoutView="100" workbookViewId="0">
      <selection pane="topLeft" activeCell="AV14" activeCellId="0" sqref="AV14"/>
    </sheetView>
  </sheetViews>
  <sheetFormatPr defaultColWidth="11.60546875" defaultRowHeight="12.8" zeroHeight="false" outlineLevelRow="0" outlineLevelCol="0"/>
  <cols>
    <col collapsed="false" customWidth="true" hidden="false" outlineLevel="0" max="3" min="3" style="0" width="19.72"/>
    <col collapsed="false" customWidth="true" hidden="false" outlineLevel="0" max="4" min="4" style="0" width="6.38"/>
    <col collapsed="false" customWidth="true" hidden="false" outlineLevel="0" max="8" min="8" style="0" width="3.79"/>
    <col collapsed="false" customWidth="true" hidden="false" outlineLevel="0" max="13" min="11" style="0" width="7.17"/>
    <col collapsed="false" customWidth="true" hidden="false" outlineLevel="0" max="18" min="18" style="0" width="3.61"/>
    <col collapsed="false" customWidth="true" hidden="false" outlineLevel="0" max="25" min="19" style="0" width="5.09"/>
    <col collapsed="false" customWidth="true" hidden="false" outlineLevel="0" max="28" min="28" style="0" width="3.61"/>
    <col collapsed="false" customWidth="true" hidden="false" outlineLevel="0" max="35" min="29" style="0" width="6.57"/>
    <col collapsed="false" customWidth="true" hidden="false" outlineLevel="0" max="37" min="37" style="0" width="6.57"/>
    <col collapsed="false" customWidth="true" hidden="false" outlineLevel="0" max="44" min="38" style="0" width="6.94"/>
    <col collapsed="false" customWidth="true" hidden="false" outlineLevel="0" max="45" min="45" style="0" width="2.49"/>
    <col collapsed="false" customWidth="true" hidden="false" outlineLevel="0" max="47" min="46" style="0" width="4.16"/>
    <col collapsed="false" customWidth="true" hidden="false" outlineLevel="0" max="48" min="48" style="0" width="6.94"/>
    <col collapsed="false" customWidth="true" hidden="false" outlineLevel="0" max="54" min="49" style="0" width="19.72"/>
    <col collapsed="false" customWidth="true" hidden="false" outlineLevel="0" max="61" min="55" style="0" width="4.16"/>
    <col collapsed="false" customWidth="true" hidden="false" outlineLevel="0" max="65" min="62" style="0" width="3.61"/>
    <col collapsed="false" customWidth="true" hidden="false" outlineLevel="0" max="67" min="66" style="0" width="4.16"/>
    <col collapsed="false" customWidth="true" hidden="false" outlineLevel="0" max="73" min="68" style="0" width="3.61"/>
    <col collapsed="false" customWidth="true" hidden="false" outlineLevel="0" max="79" min="74" style="0" width="4.16"/>
    <col collapsed="false" customWidth="true" hidden="false" outlineLevel="0" max="87" min="80" style="0" width="3.61"/>
    <col collapsed="false" customWidth="true" hidden="false" outlineLevel="0" max="95" min="88" style="0" width="4.16"/>
    <col collapsed="false" customWidth="true" hidden="false" outlineLevel="0" max="103" min="96" style="0" width="3.61"/>
    <col collapsed="false" customWidth="true" hidden="false" outlineLevel="0" max="107" min="104" style="0" width="4.16"/>
    <col collapsed="false" customWidth="true" hidden="false" outlineLevel="0" max="109" min="108" style="0" width="5.28"/>
  </cols>
  <sheetData>
    <row r="3" customFormat="false" ht="12.8" hidden="false" customHeight="false" outlineLevel="0" collapsed="false">
      <c r="C3" s="0" t="n">
        <v>0</v>
      </c>
      <c r="D3" s="0" t="n">
        <v>1</v>
      </c>
      <c r="H3" s="9" t="s">
        <v>128</v>
      </c>
      <c r="I3" s="9"/>
      <c r="K3" s="0" t="n">
        <v>0</v>
      </c>
      <c r="L3" s="0" t="n">
        <v>0</v>
      </c>
      <c r="M3" s="0" t="n">
        <v>0</v>
      </c>
      <c r="S3" s="36" t="s">
        <v>114</v>
      </c>
      <c r="T3" s="36" t="s">
        <v>115</v>
      </c>
      <c r="U3" s="36" t="s">
        <v>116</v>
      </c>
      <c r="V3" s="36" t="s">
        <v>117</v>
      </c>
      <c r="W3" s="36" t="s">
        <v>118</v>
      </c>
      <c r="X3" s="36" t="s">
        <v>119</v>
      </c>
      <c r="Y3" s="36" t="s">
        <v>120</v>
      </c>
      <c r="AC3" s="0" t="s">
        <v>114</v>
      </c>
      <c r="AD3" s="0" t="s">
        <v>115</v>
      </c>
      <c r="AE3" s="0" t="s">
        <v>116</v>
      </c>
      <c r="AF3" s="0" t="s">
        <v>117</v>
      </c>
      <c r="AG3" s="0" t="s">
        <v>118</v>
      </c>
      <c r="AH3" s="0" t="s">
        <v>119</v>
      </c>
      <c r="AI3" s="0" t="s">
        <v>120</v>
      </c>
      <c r="AL3" s="0" t="n">
        <v>1</v>
      </c>
      <c r="AM3" s="0" t="n">
        <v>2</v>
      </c>
      <c r="AN3" s="0" t="n">
        <v>3</v>
      </c>
      <c r="AO3" s="0" t="n">
        <v>4</v>
      </c>
      <c r="AP3" s="0" t="n">
        <v>5</v>
      </c>
      <c r="AQ3" s="0" t="n">
        <v>6</v>
      </c>
      <c r="AR3" s="0" t="n">
        <v>7</v>
      </c>
      <c r="AS3" s="0" t="n">
        <v>8</v>
      </c>
      <c r="AT3" s="0" t="n">
        <v>9</v>
      </c>
      <c r="AU3" s="0" t="n">
        <v>10</v>
      </c>
      <c r="AV3" s="0" t="n">
        <v>11</v>
      </c>
      <c r="AW3" s="0" t="n">
        <v>12</v>
      </c>
      <c r="AX3" s="0" t="n">
        <v>13</v>
      </c>
      <c r="AY3" s="0" t="n">
        <v>14</v>
      </c>
      <c r="AZ3" s="0" t="n">
        <v>15</v>
      </c>
      <c r="BA3" s="0" t="n">
        <v>16</v>
      </c>
      <c r="BB3" s="0" t="n">
        <v>17</v>
      </c>
      <c r="BC3" s="0" t="n">
        <v>18</v>
      </c>
      <c r="BD3" s="0" t="n">
        <v>19</v>
      </c>
      <c r="BE3" s="0" t="n">
        <v>20</v>
      </c>
      <c r="BF3" s="0" t="n">
        <v>21</v>
      </c>
      <c r="BG3" s="0" t="n">
        <v>22</v>
      </c>
      <c r="BH3" s="0" t="n">
        <v>23</v>
      </c>
      <c r="BI3" s="0" t="n">
        <v>24</v>
      </c>
      <c r="BJ3" s="0" t="n">
        <v>25</v>
      </c>
      <c r="BK3" s="0" t="n">
        <v>26</v>
      </c>
      <c r="BL3" s="0" t="n">
        <v>27</v>
      </c>
      <c r="BM3" s="0" t="n">
        <v>28</v>
      </c>
      <c r="BN3" s="0" t="n">
        <v>29</v>
      </c>
      <c r="BO3" s="0" t="n">
        <v>30</v>
      </c>
      <c r="BP3" s="0" t="n">
        <v>31</v>
      </c>
      <c r="BQ3" s="0" t="n">
        <v>32</v>
      </c>
      <c r="BR3" s="0" t="n">
        <v>33</v>
      </c>
      <c r="BS3" s="0" t="n">
        <v>34</v>
      </c>
      <c r="BT3" s="0" t="n">
        <v>35</v>
      </c>
      <c r="BU3" s="0" t="n">
        <v>36</v>
      </c>
      <c r="BV3" s="0" t="n">
        <v>37</v>
      </c>
      <c r="BW3" s="0" t="n">
        <v>38</v>
      </c>
      <c r="BX3" s="0" t="n">
        <v>39</v>
      </c>
      <c r="BY3" s="0" t="n">
        <v>40</v>
      </c>
      <c r="BZ3" s="0" t="n">
        <v>41</v>
      </c>
      <c r="CA3" s="0" t="n">
        <v>42</v>
      </c>
      <c r="CB3" s="0" t="n">
        <v>43</v>
      </c>
      <c r="CC3" s="0" t="n">
        <v>44</v>
      </c>
      <c r="CD3" s="0" t="n">
        <v>45</v>
      </c>
      <c r="CE3" s="0" t="n">
        <v>46</v>
      </c>
      <c r="CF3" s="0" t="n">
        <v>47</v>
      </c>
      <c r="CG3" s="0" t="n">
        <v>48</v>
      </c>
      <c r="CH3" s="0" t="n">
        <v>49</v>
      </c>
      <c r="CI3" s="0" t="n">
        <v>50</v>
      </c>
      <c r="CJ3" s="0" t="n">
        <v>51</v>
      </c>
      <c r="CK3" s="0" t="n">
        <v>52</v>
      </c>
      <c r="CL3" s="0" t="n">
        <v>53</v>
      </c>
      <c r="CM3" s="0" t="n">
        <v>54</v>
      </c>
      <c r="CN3" s="0" t="n">
        <v>55</v>
      </c>
      <c r="CO3" s="0" t="n">
        <v>56</v>
      </c>
      <c r="CP3" s="0" t="n">
        <v>57</v>
      </c>
      <c r="CQ3" s="0" t="n">
        <v>58</v>
      </c>
      <c r="CR3" s="0" t="n">
        <v>59</v>
      </c>
      <c r="CS3" s="0" t="n">
        <v>60</v>
      </c>
      <c r="CT3" s="0" t="n">
        <v>61</v>
      </c>
      <c r="CU3" s="0" t="n">
        <v>62</v>
      </c>
      <c r="CV3" s="0" t="n">
        <v>63</v>
      </c>
      <c r="CW3" s="0" t="n">
        <v>64</v>
      </c>
      <c r="CX3" s="0" t="n">
        <v>65</v>
      </c>
      <c r="CY3" s="0" t="n">
        <v>66</v>
      </c>
      <c r="CZ3" s="0" t="n">
        <v>67</v>
      </c>
      <c r="DA3" s="0" t="n">
        <v>68</v>
      </c>
      <c r="DB3" s="0" t="n">
        <v>69</v>
      </c>
      <c r="DC3" s="0" t="n">
        <v>70</v>
      </c>
      <c r="DD3" s="0" t="n">
        <v>71</v>
      </c>
      <c r="DE3" s="0" t="n">
        <v>72</v>
      </c>
    </row>
    <row r="4" customFormat="false" ht="12.8" hidden="false" customHeight="false" outlineLevel="0" collapsed="false">
      <c r="C4" s="0" t="n">
        <v>0.0833333333333333</v>
      </c>
      <c r="H4" s="9" t="s">
        <v>129</v>
      </c>
      <c r="I4" s="9"/>
      <c r="K4" s="0" t="n">
        <v>0.583333333333333</v>
      </c>
      <c r="L4" s="0" t="n">
        <v>1</v>
      </c>
      <c r="M4" s="0" t="n">
        <v>0.583333333333333</v>
      </c>
      <c r="R4" s="9" t="n">
        <v>1</v>
      </c>
      <c r="S4" s="0" t="n">
        <v>0</v>
      </c>
      <c r="T4" s="0" t="n">
        <v>0.583333333333333</v>
      </c>
      <c r="U4" s="0" t="n">
        <v>0.166666666666667</v>
      </c>
      <c r="V4" s="0" t="n">
        <v>0.333333333333333</v>
      </c>
      <c r="W4" s="0" t="n">
        <v>0.333333333333333</v>
      </c>
      <c r="X4" s="0" t="n">
        <v>0.916666666666667</v>
      </c>
      <c r="Y4" s="0" t="n">
        <v>1.5</v>
      </c>
      <c r="AB4" s="0" t="n">
        <v>1</v>
      </c>
      <c r="AC4" s="0" t="n">
        <f aca="false">VLOOKUP(S4, $K$3:$L$26, 2, 0)</f>
        <v>0</v>
      </c>
      <c r="AD4" s="0" t="n">
        <f aca="false">VLOOKUP(T4, $K$3:$L$26, 2, 0)</f>
        <v>1</v>
      </c>
      <c r="AE4" s="0" t="n">
        <f aca="false">VLOOKUP(U4, $K$3:$L$26, 2, 0)</f>
        <v>5</v>
      </c>
      <c r="AF4" s="0" t="n">
        <f aca="false">VLOOKUP(V4, $K$3:$L$26, 2, 0)</f>
        <v>3</v>
      </c>
      <c r="AG4" s="0" t="n">
        <f aca="false">VLOOKUP(W4, $K$3:$L$26, 2, 0)</f>
        <v>3</v>
      </c>
      <c r="AH4" s="0" t="n">
        <f aca="false">VLOOKUP(X4, $K$3:$L$26, 2, 0)</f>
        <v>7</v>
      </c>
      <c r="AI4" s="0" t="n">
        <f aca="false">VLOOKUP(Y4, $K$3:$L$26, 2, 0)</f>
        <v>8.1</v>
      </c>
      <c r="AK4" s="0" t="s">
        <v>114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0</v>
      </c>
      <c r="AX4" s="0" t="n">
        <v>0</v>
      </c>
      <c r="AY4" s="0" t="n">
        <v>0</v>
      </c>
      <c r="AZ4" s="0" t="n">
        <v>0</v>
      </c>
      <c r="BA4" s="0" t="n">
        <v>0</v>
      </c>
      <c r="BB4" s="0" t="n">
        <v>0</v>
      </c>
      <c r="BC4" s="0" t="n">
        <v>0</v>
      </c>
      <c r="BD4" s="0" t="n">
        <v>0</v>
      </c>
      <c r="BE4" s="0" t="n">
        <v>0</v>
      </c>
      <c r="BF4" s="0" t="n">
        <v>0</v>
      </c>
      <c r="BG4" s="0" t="n">
        <v>0</v>
      </c>
      <c r="BH4" s="0" t="n">
        <v>0</v>
      </c>
      <c r="BI4" s="0" t="n">
        <v>0</v>
      </c>
      <c r="BJ4" s="0" t="n">
        <v>0</v>
      </c>
      <c r="BK4" s="0" t="n">
        <v>0</v>
      </c>
      <c r="BL4" s="0" t="n">
        <v>0</v>
      </c>
      <c r="BM4" s="0" t="n">
        <v>0</v>
      </c>
      <c r="BN4" s="0" t="n">
        <v>0</v>
      </c>
      <c r="BO4" s="0" t="n">
        <v>0</v>
      </c>
      <c r="BP4" s="0" t="n">
        <v>0</v>
      </c>
      <c r="BQ4" s="0" t="n">
        <v>0</v>
      </c>
      <c r="BR4" s="0" t="n">
        <v>0</v>
      </c>
      <c r="BS4" s="0" t="n">
        <v>0</v>
      </c>
      <c r="BT4" s="0" t="n">
        <v>0</v>
      </c>
      <c r="BU4" s="0" t="n">
        <v>0</v>
      </c>
      <c r="BV4" s="0" t="n">
        <v>0</v>
      </c>
      <c r="BW4" s="0" t="n">
        <v>0</v>
      </c>
      <c r="BX4" s="0" t="n">
        <v>0</v>
      </c>
      <c r="BY4" s="0" t="n">
        <v>0</v>
      </c>
      <c r="BZ4" s="0" t="n">
        <v>0</v>
      </c>
      <c r="CA4" s="0" t="n">
        <v>0</v>
      </c>
      <c r="CB4" s="0" t="n">
        <v>0</v>
      </c>
      <c r="CC4" s="0" t="n">
        <v>0</v>
      </c>
      <c r="CD4" s="0" t="n">
        <v>0</v>
      </c>
      <c r="CE4" s="0" t="n">
        <v>0</v>
      </c>
      <c r="CF4" s="0" t="n">
        <v>0</v>
      </c>
      <c r="CG4" s="0" t="n">
        <v>0</v>
      </c>
      <c r="CH4" s="0" t="n">
        <v>0</v>
      </c>
      <c r="CI4" s="0" t="n">
        <v>0</v>
      </c>
      <c r="CJ4" s="0" t="n">
        <v>0</v>
      </c>
      <c r="CK4" s="0" t="n">
        <v>0</v>
      </c>
      <c r="CL4" s="0" t="n">
        <v>0</v>
      </c>
      <c r="CM4" s="0" t="n">
        <v>0</v>
      </c>
      <c r="CN4" s="0" t="n">
        <v>0.1</v>
      </c>
      <c r="CO4" s="0" t="n">
        <v>0.1</v>
      </c>
      <c r="CP4" s="0" t="n">
        <v>0.1</v>
      </c>
      <c r="CQ4" s="0" t="n">
        <v>0.1</v>
      </c>
      <c r="CR4" s="0" t="n">
        <v>0</v>
      </c>
      <c r="CS4" s="0" t="n">
        <v>0</v>
      </c>
      <c r="CT4" s="0" t="n">
        <v>0</v>
      </c>
      <c r="CU4" s="0" t="n">
        <v>0</v>
      </c>
      <c r="CV4" s="0" t="n">
        <v>0</v>
      </c>
      <c r="CW4" s="0" t="n">
        <v>0</v>
      </c>
      <c r="CX4" s="0" t="n">
        <v>0</v>
      </c>
      <c r="CY4" s="0" t="n">
        <v>0</v>
      </c>
      <c r="CZ4" s="0" t="n">
        <v>0.1</v>
      </c>
      <c r="DA4" s="0" t="n">
        <v>0.1</v>
      </c>
      <c r="DB4" s="0" t="n">
        <v>0.1</v>
      </c>
      <c r="DC4" s="0" t="n">
        <v>0.1</v>
      </c>
      <c r="DD4" s="0" t="n">
        <v>0.1</v>
      </c>
      <c r="DE4" s="0" t="n">
        <v>0.1</v>
      </c>
    </row>
    <row r="5" customFormat="false" ht="12.8" hidden="false" customHeight="false" outlineLevel="0" collapsed="false">
      <c r="C5" s="0" t="n">
        <v>0.166666666666667</v>
      </c>
      <c r="D5" s="0" t="n">
        <v>1.167</v>
      </c>
      <c r="H5" s="9" t="s">
        <v>103</v>
      </c>
      <c r="I5" s="9"/>
      <c r="K5" s="0" t="n">
        <v>0.25</v>
      </c>
      <c r="L5" s="0" t="n">
        <v>2</v>
      </c>
      <c r="M5" s="0" t="n">
        <v>0.25</v>
      </c>
      <c r="R5" s="9" t="n">
        <f aca="false">R4+1</f>
        <v>2</v>
      </c>
      <c r="S5" s="0" t="n">
        <v>0</v>
      </c>
      <c r="T5" s="0" t="n">
        <v>0.583333333333333</v>
      </c>
      <c r="U5" s="0" t="n">
        <v>0.166666666666667</v>
      </c>
      <c r="V5" s="0" t="n">
        <v>0.333333333333333</v>
      </c>
      <c r="W5" s="0" t="n">
        <v>0.333333333333333</v>
      </c>
      <c r="X5" s="0" t="n">
        <v>0.916666666666667</v>
      </c>
      <c r="Y5" s="0" t="n">
        <v>1.5</v>
      </c>
      <c r="AB5" s="0" t="n">
        <v>2</v>
      </c>
      <c r="AC5" s="0" t="n">
        <f aca="false">VLOOKUP(S5, $K$3:$L$26, 2, 0)</f>
        <v>0</v>
      </c>
      <c r="AD5" s="0" t="n">
        <f aca="false">VLOOKUP(T5, $K$3:$L$26, 2, 0)</f>
        <v>1</v>
      </c>
      <c r="AE5" s="0" t="n">
        <f aca="false">VLOOKUP(U5, $K$3:$L$26, 2, 0)</f>
        <v>5</v>
      </c>
      <c r="AF5" s="0" t="n">
        <f aca="false">VLOOKUP(V5, $K$3:$L$26, 2, 0)</f>
        <v>3</v>
      </c>
      <c r="AG5" s="0" t="n">
        <f aca="false">VLOOKUP(W5, $K$3:$L$26, 2, 0)</f>
        <v>3</v>
      </c>
      <c r="AH5" s="0" t="n">
        <f aca="false">VLOOKUP(X5, $K$3:$L$26, 2, 0)</f>
        <v>7</v>
      </c>
      <c r="AI5" s="0" t="n">
        <f aca="false">VLOOKUP(Y5, $K$3:$L$26, 2, 0)</f>
        <v>8.1</v>
      </c>
      <c r="AK5" s="0" t="s">
        <v>115</v>
      </c>
      <c r="AL5" s="0" t="n">
        <v>1</v>
      </c>
      <c r="AM5" s="0" t="n">
        <v>1</v>
      </c>
      <c r="AN5" s="0" t="n">
        <v>1</v>
      </c>
      <c r="AO5" s="0" t="n">
        <v>1</v>
      </c>
      <c r="AP5" s="0" t="n">
        <v>1</v>
      </c>
      <c r="AQ5" s="0" t="n">
        <v>1</v>
      </c>
      <c r="AR5" s="0" t="n">
        <v>1</v>
      </c>
      <c r="AS5" s="0" t="n">
        <v>1</v>
      </c>
      <c r="AT5" s="0" t="n">
        <v>1</v>
      </c>
      <c r="AU5" s="0" t="n">
        <v>1</v>
      </c>
      <c r="AV5" s="0" t="n">
        <v>1</v>
      </c>
      <c r="AW5" s="0" t="n">
        <v>1</v>
      </c>
      <c r="AX5" s="0" t="n">
        <v>1</v>
      </c>
      <c r="AY5" s="0" t="n">
        <v>1</v>
      </c>
      <c r="AZ5" s="0" t="n">
        <v>0</v>
      </c>
      <c r="BA5" s="0" t="n">
        <v>0</v>
      </c>
      <c r="BB5" s="0" t="n">
        <v>1</v>
      </c>
      <c r="BC5" s="0" t="n">
        <v>1</v>
      </c>
      <c r="BD5" s="0" t="n">
        <v>0</v>
      </c>
      <c r="BE5" s="0" t="n">
        <v>0</v>
      </c>
      <c r="BF5" s="0" t="n">
        <v>3.1</v>
      </c>
      <c r="BG5" s="0" t="n">
        <v>3.1</v>
      </c>
      <c r="BH5" s="0" t="n">
        <v>1</v>
      </c>
      <c r="BI5" s="0" t="n">
        <v>1</v>
      </c>
      <c r="BJ5" s="0" t="n">
        <v>0</v>
      </c>
      <c r="BK5" s="0" t="n">
        <v>0</v>
      </c>
      <c r="BL5" s="0" t="n">
        <v>0</v>
      </c>
      <c r="BM5" s="0" t="n">
        <v>0</v>
      </c>
      <c r="BN5" s="0" t="n">
        <v>1</v>
      </c>
      <c r="BO5" s="0" t="n">
        <v>1</v>
      </c>
      <c r="BP5" s="0" t="n">
        <v>0</v>
      </c>
      <c r="BQ5" s="0" t="n">
        <v>0</v>
      </c>
      <c r="BR5" s="0" t="n">
        <v>0</v>
      </c>
      <c r="BS5" s="0" t="n">
        <v>0</v>
      </c>
      <c r="BT5" s="0" t="n">
        <v>1</v>
      </c>
      <c r="BU5" s="0" t="n">
        <v>1</v>
      </c>
      <c r="BV5" s="0" t="n">
        <v>1</v>
      </c>
      <c r="BW5" s="0" t="n">
        <v>1</v>
      </c>
      <c r="BX5" s="0" t="n">
        <v>1.1</v>
      </c>
      <c r="BY5" s="0" t="n">
        <v>1.1</v>
      </c>
      <c r="BZ5" s="0" t="n">
        <v>0</v>
      </c>
      <c r="CA5" s="0" t="n">
        <v>0</v>
      </c>
      <c r="CB5" s="0" t="n">
        <v>0</v>
      </c>
      <c r="CC5" s="0" t="n">
        <v>0</v>
      </c>
      <c r="CD5" s="0" t="n">
        <v>0</v>
      </c>
      <c r="CE5" s="0" t="n">
        <v>0</v>
      </c>
      <c r="CF5" s="0" t="n">
        <v>0</v>
      </c>
      <c r="CG5" s="0" t="n">
        <v>0</v>
      </c>
      <c r="CH5" s="0" t="n">
        <v>0</v>
      </c>
      <c r="CI5" s="0" t="n">
        <v>0</v>
      </c>
      <c r="CJ5" s="0" t="n">
        <v>1.1</v>
      </c>
      <c r="CK5" s="0" t="n">
        <v>1.1</v>
      </c>
      <c r="CL5" s="0" t="n">
        <v>0</v>
      </c>
      <c r="CM5" s="0" t="n">
        <v>0</v>
      </c>
      <c r="CN5" s="0" t="n">
        <v>1.1</v>
      </c>
      <c r="CO5" s="0" t="n">
        <v>1.1</v>
      </c>
      <c r="CP5" s="0" t="n">
        <v>1.1</v>
      </c>
      <c r="CQ5" s="0" t="n">
        <v>1.1</v>
      </c>
      <c r="CR5" s="0" t="n">
        <v>0</v>
      </c>
      <c r="CS5" s="0" t="n">
        <v>0</v>
      </c>
      <c r="CT5" s="0" t="n">
        <v>0</v>
      </c>
      <c r="CU5" s="0" t="n">
        <v>0</v>
      </c>
      <c r="CV5" s="0" t="n">
        <v>2</v>
      </c>
      <c r="CW5" s="0" t="n">
        <v>2</v>
      </c>
      <c r="CX5" s="0" t="n">
        <v>2</v>
      </c>
      <c r="CY5" s="0" t="n">
        <v>2</v>
      </c>
      <c r="CZ5" s="0" t="n">
        <v>2</v>
      </c>
      <c r="DA5" s="0" t="n">
        <v>2</v>
      </c>
      <c r="DB5" s="0" t="n">
        <v>0.1</v>
      </c>
      <c r="DC5" s="0" t="n">
        <v>0.1</v>
      </c>
      <c r="DD5" s="0" t="n">
        <v>4</v>
      </c>
      <c r="DE5" s="0" t="n">
        <v>4</v>
      </c>
    </row>
    <row r="6" customFormat="false" ht="12.8" hidden="false" customHeight="false" outlineLevel="0" collapsed="false">
      <c r="C6" s="0" t="n">
        <v>0.25</v>
      </c>
      <c r="H6" s="9" t="n">
        <v>3</v>
      </c>
      <c r="I6" s="9"/>
      <c r="K6" s="0" t="n">
        <v>0.333333333333333</v>
      </c>
      <c r="L6" s="0" t="n">
        <v>3</v>
      </c>
      <c r="M6" s="0" t="n">
        <v>0.333333333333333</v>
      </c>
      <c r="R6" s="9" t="n">
        <f aca="false">R5+1</f>
        <v>3</v>
      </c>
      <c r="S6" s="0" t="n">
        <v>0</v>
      </c>
      <c r="T6" s="0" t="n">
        <v>0.583333333333333</v>
      </c>
      <c r="U6" s="0" t="n">
        <v>0.166666666666667</v>
      </c>
      <c r="V6" s="0" t="n">
        <v>0.75</v>
      </c>
      <c r="W6" s="0" t="n">
        <v>0.333333333333333</v>
      </c>
      <c r="X6" s="0" t="n">
        <v>0.916666666666667</v>
      </c>
      <c r="Y6" s="0" t="n">
        <v>1.5</v>
      </c>
      <c r="AB6" s="0" t="n">
        <v>3</v>
      </c>
      <c r="AC6" s="0" t="n">
        <f aca="false">VLOOKUP(S6, $K$3:$L$26, 2, 0)</f>
        <v>0</v>
      </c>
      <c r="AD6" s="0" t="n">
        <f aca="false">VLOOKUP(T6, $K$3:$L$26, 2, 0)</f>
        <v>1</v>
      </c>
      <c r="AE6" s="0" t="n">
        <f aca="false">VLOOKUP(U6, $K$3:$L$26, 2, 0)</f>
        <v>5</v>
      </c>
      <c r="AF6" s="0" t="n">
        <f aca="false">VLOOKUP(V6, $K$3:$L$26, 2, 0)</f>
        <v>6</v>
      </c>
      <c r="AG6" s="0" t="n">
        <f aca="false">VLOOKUP(W6, $K$3:$L$26, 2, 0)</f>
        <v>3</v>
      </c>
      <c r="AH6" s="0" t="n">
        <f aca="false">VLOOKUP(X6, $K$3:$L$26, 2, 0)</f>
        <v>7</v>
      </c>
      <c r="AI6" s="0" t="n">
        <f aca="false">VLOOKUP(Y6, $K$3:$L$26, 2, 0)</f>
        <v>8.1</v>
      </c>
      <c r="AK6" s="0" t="s">
        <v>116</v>
      </c>
      <c r="AL6" s="0" t="n">
        <v>3</v>
      </c>
      <c r="AM6" s="0" t="n">
        <v>3</v>
      </c>
      <c r="AN6" s="0" t="n">
        <v>3</v>
      </c>
      <c r="AO6" s="0" t="n">
        <v>3</v>
      </c>
      <c r="AP6" s="0" t="n">
        <v>1</v>
      </c>
      <c r="AQ6" s="0" t="n">
        <v>1</v>
      </c>
      <c r="AR6" s="0" t="n">
        <v>3</v>
      </c>
      <c r="AS6" s="0" t="n">
        <v>3</v>
      </c>
      <c r="AT6" s="0" t="n">
        <v>3.1</v>
      </c>
      <c r="AU6" s="0" t="n">
        <v>3.1</v>
      </c>
      <c r="AV6" s="0" t="n">
        <v>1</v>
      </c>
      <c r="AW6" s="0" t="n">
        <v>1</v>
      </c>
      <c r="AX6" s="0" t="n">
        <v>1</v>
      </c>
      <c r="AY6" s="0" t="n">
        <v>1</v>
      </c>
      <c r="AZ6" s="0" t="n">
        <v>3.1</v>
      </c>
      <c r="BA6" s="0" t="n">
        <v>3.1</v>
      </c>
      <c r="BB6" s="0" t="n">
        <v>3.1</v>
      </c>
      <c r="BC6" s="0" t="n">
        <v>3.1</v>
      </c>
      <c r="BD6" s="0" t="n">
        <v>1</v>
      </c>
      <c r="BE6" s="0" t="n">
        <v>1</v>
      </c>
      <c r="BF6" s="0" t="n">
        <v>4</v>
      </c>
      <c r="BG6" s="0" t="n">
        <v>4</v>
      </c>
      <c r="BH6" s="0" t="n">
        <v>3.1</v>
      </c>
      <c r="BI6" s="0" t="n">
        <v>3.1</v>
      </c>
      <c r="BJ6" s="0" t="n">
        <v>1</v>
      </c>
      <c r="BK6" s="0" t="n">
        <v>1</v>
      </c>
      <c r="BL6" s="0" t="n">
        <v>1</v>
      </c>
      <c r="BM6" s="0" t="n">
        <v>1</v>
      </c>
      <c r="BN6" s="0" t="n">
        <v>2</v>
      </c>
      <c r="BO6" s="0" t="n">
        <v>2</v>
      </c>
      <c r="BP6" s="0" t="n">
        <v>1</v>
      </c>
      <c r="BQ6" s="0" t="n">
        <v>1</v>
      </c>
      <c r="BR6" s="0" t="n">
        <v>1</v>
      </c>
      <c r="BS6" s="0" t="n">
        <v>1</v>
      </c>
      <c r="BT6" s="0" t="n">
        <v>1</v>
      </c>
      <c r="BU6" s="0" t="n">
        <v>1</v>
      </c>
      <c r="BV6" s="0" t="n">
        <v>1</v>
      </c>
      <c r="BW6" s="0" t="n">
        <v>1</v>
      </c>
      <c r="BX6" s="0" t="n">
        <v>2</v>
      </c>
      <c r="BY6" s="0" t="n">
        <v>2</v>
      </c>
      <c r="BZ6" s="0" t="n">
        <v>1.1</v>
      </c>
      <c r="CA6" s="0" t="n">
        <v>1.1</v>
      </c>
      <c r="CB6" s="0" t="n">
        <v>0</v>
      </c>
      <c r="CC6" s="0" t="n">
        <v>0</v>
      </c>
      <c r="CD6" s="0" t="n">
        <v>0</v>
      </c>
      <c r="CE6" s="0" t="n">
        <v>0</v>
      </c>
      <c r="CF6" s="0" t="n">
        <v>1</v>
      </c>
      <c r="CG6" s="0" t="n">
        <v>1</v>
      </c>
      <c r="CH6" s="0" t="n">
        <v>1</v>
      </c>
      <c r="CI6" s="0" t="n">
        <v>1</v>
      </c>
      <c r="CJ6" s="0" t="n">
        <v>1.1</v>
      </c>
      <c r="CK6" s="0" t="n">
        <v>1.1</v>
      </c>
      <c r="CL6" s="0" t="n">
        <v>1.1</v>
      </c>
      <c r="CM6" s="0" t="n">
        <v>1.1</v>
      </c>
      <c r="CN6" s="0" t="n">
        <v>2</v>
      </c>
      <c r="CO6" s="0" t="n">
        <v>2</v>
      </c>
      <c r="CP6" s="0" t="n">
        <v>2</v>
      </c>
      <c r="CQ6" s="0" t="n">
        <v>2</v>
      </c>
      <c r="CR6" s="0" t="n">
        <v>0</v>
      </c>
      <c r="CS6" s="0" t="n">
        <v>0</v>
      </c>
      <c r="CT6" s="0" t="n">
        <v>4</v>
      </c>
      <c r="CU6" s="0" t="n">
        <v>4</v>
      </c>
      <c r="CV6" s="0" t="n">
        <v>2</v>
      </c>
      <c r="CW6" s="0" t="n">
        <v>2</v>
      </c>
      <c r="CX6" s="0" t="n">
        <v>2</v>
      </c>
      <c r="CY6" s="0" t="n">
        <v>2</v>
      </c>
      <c r="CZ6" s="0" t="n">
        <v>4</v>
      </c>
      <c r="DA6" s="0" t="n">
        <v>4</v>
      </c>
      <c r="DB6" s="0" t="n">
        <v>9</v>
      </c>
      <c r="DC6" s="0" t="n">
        <v>9</v>
      </c>
      <c r="DD6" s="0" t="n">
        <v>4</v>
      </c>
      <c r="DE6" s="0" t="n">
        <v>4</v>
      </c>
    </row>
    <row r="7" customFormat="false" ht="12.8" hidden="false" customHeight="false" outlineLevel="0" collapsed="false">
      <c r="C7" s="0" t="n">
        <v>0.333333333333333</v>
      </c>
      <c r="D7" s="0" t="n">
        <v>1.333</v>
      </c>
      <c r="H7" s="9" t="s">
        <v>107</v>
      </c>
      <c r="I7" s="9"/>
      <c r="K7" s="0" t="n">
        <v>0.833333333333333</v>
      </c>
      <c r="L7" s="0" t="n">
        <v>4</v>
      </c>
      <c r="M7" s="0" t="n">
        <v>0.833333333333333</v>
      </c>
      <c r="R7" s="9" t="n">
        <f aca="false">R6+1</f>
        <v>4</v>
      </c>
      <c r="S7" s="0" t="n">
        <v>0</v>
      </c>
      <c r="T7" s="0" t="n">
        <v>0.583333333333333</v>
      </c>
      <c r="U7" s="0" t="n">
        <v>0.166666666666667</v>
      </c>
      <c r="V7" s="0" t="n">
        <v>0.75</v>
      </c>
      <c r="W7" s="0" t="n">
        <v>0.333333333333333</v>
      </c>
      <c r="X7" s="0" t="n">
        <v>0.916666666666667</v>
      </c>
      <c r="Y7" s="0" t="n">
        <v>1.5</v>
      </c>
      <c r="AB7" s="0" t="n">
        <v>4</v>
      </c>
      <c r="AC7" s="0" t="n">
        <f aca="false">VLOOKUP(S7, $K$3:$L$26, 2, 0)</f>
        <v>0</v>
      </c>
      <c r="AD7" s="0" t="n">
        <f aca="false">VLOOKUP(T7, $K$3:$L$26, 2, 0)</f>
        <v>1</v>
      </c>
      <c r="AE7" s="0" t="n">
        <f aca="false">VLOOKUP(U7, $K$3:$L$26, 2, 0)</f>
        <v>5</v>
      </c>
      <c r="AF7" s="0" t="n">
        <f aca="false">VLOOKUP(V7, $K$3:$L$26, 2, 0)</f>
        <v>6</v>
      </c>
      <c r="AG7" s="0" t="n">
        <f aca="false">VLOOKUP(W7, $K$3:$L$26, 2, 0)</f>
        <v>3</v>
      </c>
      <c r="AH7" s="0" t="n">
        <f aca="false">VLOOKUP(X7, $K$3:$L$26, 2, 0)</f>
        <v>7</v>
      </c>
      <c r="AI7" s="0" t="n">
        <f aca="false">VLOOKUP(Y7, $K$3:$L$26, 2, 0)</f>
        <v>8.1</v>
      </c>
      <c r="AK7" s="0" t="s">
        <v>117</v>
      </c>
      <c r="AL7" s="0" t="n">
        <v>3</v>
      </c>
      <c r="AM7" s="0" t="n">
        <v>3</v>
      </c>
      <c r="AN7" s="0" t="n">
        <v>5</v>
      </c>
      <c r="AO7" s="0" t="n">
        <v>5</v>
      </c>
      <c r="AP7" s="0" t="n">
        <v>1</v>
      </c>
      <c r="AQ7" s="0" t="n">
        <v>1</v>
      </c>
      <c r="AR7" s="0" t="n">
        <v>3</v>
      </c>
      <c r="AS7" s="0" t="n">
        <v>3</v>
      </c>
      <c r="AT7" s="0" t="n">
        <v>5</v>
      </c>
      <c r="AU7" s="0" t="n">
        <v>5</v>
      </c>
      <c r="AV7" s="0" t="n">
        <v>3.1</v>
      </c>
      <c r="AW7" s="0" t="n">
        <v>3.1</v>
      </c>
      <c r="AX7" s="0" t="n">
        <v>3</v>
      </c>
      <c r="AY7" s="0" t="n">
        <v>3</v>
      </c>
      <c r="AZ7" s="0" t="n">
        <v>6</v>
      </c>
      <c r="BA7" s="0" t="n">
        <v>6</v>
      </c>
      <c r="BB7" s="0" t="n">
        <v>5</v>
      </c>
      <c r="BC7" s="0" t="n">
        <v>5</v>
      </c>
      <c r="BD7" s="0" t="n">
        <v>3</v>
      </c>
      <c r="BE7" s="0" t="n">
        <v>3</v>
      </c>
      <c r="BF7" s="0" t="n">
        <v>5</v>
      </c>
      <c r="BG7" s="0" t="n">
        <v>5</v>
      </c>
      <c r="BH7" s="0" t="n">
        <v>4</v>
      </c>
      <c r="BI7" s="0" t="n">
        <v>4</v>
      </c>
      <c r="BJ7" s="0" t="n">
        <v>1</v>
      </c>
      <c r="BK7" s="0" t="n">
        <v>1</v>
      </c>
      <c r="BL7" s="0" t="n">
        <v>5</v>
      </c>
      <c r="BM7" s="0" t="n">
        <v>5</v>
      </c>
      <c r="BN7" s="0" t="n">
        <v>4</v>
      </c>
      <c r="BO7" s="0" t="n">
        <v>4</v>
      </c>
      <c r="BP7" s="0" t="n">
        <v>1</v>
      </c>
      <c r="BQ7" s="0" t="n">
        <v>1</v>
      </c>
      <c r="BR7" s="0" t="n">
        <v>1</v>
      </c>
      <c r="BS7" s="0" t="n">
        <v>1</v>
      </c>
      <c r="BT7" s="0" t="n">
        <v>4</v>
      </c>
      <c r="BU7" s="0" t="n">
        <v>4</v>
      </c>
      <c r="BV7" s="0" t="n">
        <v>2</v>
      </c>
      <c r="BW7" s="0" t="n">
        <v>2</v>
      </c>
      <c r="BX7" s="0" t="n">
        <v>4</v>
      </c>
      <c r="BY7" s="0" t="n">
        <v>4</v>
      </c>
      <c r="BZ7" s="0" t="n">
        <v>2</v>
      </c>
      <c r="CA7" s="0" t="n">
        <v>2</v>
      </c>
      <c r="CB7" s="0" t="n">
        <v>1</v>
      </c>
      <c r="CC7" s="0" t="n">
        <v>1</v>
      </c>
      <c r="CD7" s="0" t="n">
        <v>1</v>
      </c>
      <c r="CE7" s="0" t="n">
        <v>1</v>
      </c>
      <c r="CF7" s="0" t="n">
        <v>4</v>
      </c>
      <c r="CG7" s="0" t="n">
        <v>4</v>
      </c>
      <c r="CH7" s="0" t="n">
        <v>2</v>
      </c>
      <c r="CI7" s="0" t="n">
        <v>2</v>
      </c>
      <c r="CJ7" s="0" t="n">
        <v>2</v>
      </c>
      <c r="CK7" s="0" t="n">
        <v>2</v>
      </c>
      <c r="CL7" s="0" t="n">
        <v>2</v>
      </c>
      <c r="CM7" s="0" t="n">
        <v>2</v>
      </c>
      <c r="CN7" s="0" t="n">
        <v>4</v>
      </c>
      <c r="CO7" s="0" t="n">
        <v>4</v>
      </c>
      <c r="CP7" s="0" t="n">
        <v>9</v>
      </c>
      <c r="CQ7" s="0" t="n">
        <v>9</v>
      </c>
      <c r="CR7" s="0" t="n">
        <v>10</v>
      </c>
      <c r="CS7" s="0" t="n">
        <v>10</v>
      </c>
      <c r="CT7" s="0" t="n">
        <v>4</v>
      </c>
      <c r="CU7" s="0" t="n">
        <v>4</v>
      </c>
      <c r="CV7" s="0" t="n">
        <v>4</v>
      </c>
      <c r="CW7" s="0" t="n">
        <v>4</v>
      </c>
      <c r="CX7" s="0" t="n">
        <v>4</v>
      </c>
      <c r="CY7" s="0" t="n">
        <v>4</v>
      </c>
      <c r="CZ7" s="0" t="n">
        <v>9</v>
      </c>
      <c r="DA7" s="0" t="n">
        <v>9</v>
      </c>
      <c r="DB7" s="0" t="n">
        <v>9</v>
      </c>
      <c r="DC7" s="0" t="n">
        <v>9</v>
      </c>
      <c r="DD7" s="0" t="n">
        <v>8</v>
      </c>
      <c r="DE7" s="0" t="n">
        <v>8</v>
      </c>
    </row>
    <row r="8" customFormat="false" ht="12.8" hidden="false" customHeight="false" outlineLevel="0" collapsed="false">
      <c r="C8" s="0" t="n">
        <v>0.416666666666667</v>
      </c>
      <c r="D8" s="0" t="n">
        <v>1.417</v>
      </c>
      <c r="H8" s="9" t="n">
        <v>2</v>
      </c>
      <c r="I8" s="9"/>
      <c r="K8" s="0" t="n">
        <v>0.166666666666667</v>
      </c>
      <c r="L8" s="0" t="n">
        <v>5</v>
      </c>
      <c r="M8" s="0" t="n">
        <v>0.166666666666667</v>
      </c>
      <c r="R8" s="9" t="n">
        <f aca="false">R7+1</f>
        <v>5</v>
      </c>
      <c r="S8" s="0" t="n">
        <v>0</v>
      </c>
      <c r="T8" s="0" t="n">
        <v>0.583333333333333</v>
      </c>
      <c r="U8" s="0" t="n">
        <v>0.583333333333333</v>
      </c>
      <c r="V8" s="0" t="n">
        <v>0.583333333333333</v>
      </c>
      <c r="W8" s="0" t="n">
        <v>0.333333333333333</v>
      </c>
      <c r="X8" s="0" t="n">
        <v>0.333333333333333</v>
      </c>
      <c r="Y8" s="0" t="n">
        <v>0.916666666666667</v>
      </c>
      <c r="AB8" s="0" t="n">
        <v>5</v>
      </c>
      <c r="AC8" s="0" t="n">
        <f aca="false">VLOOKUP(S8, $K$3:$L$26, 2, 0)</f>
        <v>0</v>
      </c>
      <c r="AD8" s="0" t="n">
        <f aca="false">VLOOKUP(T8, $K$3:$L$26, 2, 0)</f>
        <v>1</v>
      </c>
      <c r="AE8" s="0" t="n">
        <f aca="false">VLOOKUP(U8, $K$3:$L$26, 2, 0)</f>
        <v>1</v>
      </c>
      <c r="AF8" s="0" t="n">
        <f aca="false">VLOOKUP(V8, $K$3:$L$26, 2, 0)</f>
        <v>1</v>
      </c>
      <c r="AG8" s="0" t="n">
        <f aca="false">VLOOKUP(W8, $K$3:$L$26, 2, 0)</f>
        <v>3</v>
      </c>
      <c r="AH8" s="0" t="n">
        <f aca="false">VLOOKUP(X8, $K$3:$L$26, 2, 0)</f>
        <v>3</v>
      </c>
      <c r="AI8" s="0" t="n">
        <f aca="false">VLOOKUP(Y8, $K$3:$L$26, 2, 0)</f>
        <v>7</v>
      </c>
      <c r="AK8" s="0" t="s">
        <v>118</v>
      </c>
      <c r="AL8" s="0" t="n">
        <v>5</v>
      </c>
      <c r="AM8" s="0" t="n">
        <v>5</v>
      </c>
      <c r="AN8" s="0" t="n">
        <v>6</v>
      </c>
      <c r="AO8" s="0" t="n">
        <v>6</v>
      </c>
      <c r="AP8" s="0" t="n">
        <v>3</v>
      </c>
      <c r="AQ8" s="0" t="n">
        <v>3</v>
      </c>
      <c r="AR8" s="0" t="n">
        <v>5</v>
      </c>
      <c r="AS8" s="0" t="n">
        <v>5</v>
      </c>
      <c r="AT8" s="0" t="n">
        <v>6</v>
      </c>
      <c r="AU8" s="0" t="n">
        <v>6</v>
      </c>
      <c r="AV8" s="0" t="n">
        <v>6</v>
      </c>
      <c r="AW8" s="0" t="n">
        <v>6</v>
      </c>
      <c r="AX8" s="0" t="n">
        <v>5</v>
      </c>
      <c r="AY8" s="0" t="n">
        <v>5</v>
      </c>
      <c r="AZ8" s="0" t="n">
        <v>6</v>
      </c>
      <c r="BA8" s="0" t="n">
        <v>6</v>
      </c>
      <c r="BB8" s="0" t="n">
        <v>6</v>
      </c>
      <c r="BC8" s="0" t="n">
        <v>6</v>
      </c>
      <c r="BD8" s="0" t="n">
        <v>4</v>
      </c>
      <c r="BE8" s="0" t="n">
        <v>4</v>
      </c>
      <c r="BF8" s="0" t="n">
        <v>5</v>
      </c>
      <c r="BG8" s="0" t="n">
        <v>5</v>
      </c>
      <c r="BH8" s="0" t="n">
        <v>5</v>
      </c>
      <c r="BI8" s="0" t="n">
        <v>5</v>
      </c>
      <c r="BJ8" s="0" t="n">
        <v>5</v>
      </c>
      <c r="BK8" s="0" t="n">
        <v>5</v>
      </c>
      <c r="BL8" s="0" t="n">
        <v>5</v>
      </c>
      <c r="BM8" s="0" t="n">
        <v>5</v>
      </c>
      <c r="BN8" s="0" t="n">
        <v>5.1</v>
      </c>
      <c r="BO8" s="0" t="n">
        <v>5.1</v>
      </c>
      <c r="BP8" s="0" t="n">
        <v>1</v>
      </c>
      <c r="BQ8" s="0" t="n">
        <v>1</v>
      </c>
      <c r="BR8" s="0" t="n">
        <v>5</v>
      </c>
      <c r="BS8" s="0" t="n">
        <v>5</v>
      </c>
      <c r="BT8" s="0" t="n">
        <v>5</v>
      </c>
      <c r="BU8" s="0" t="n">
        <v>5</v>
      </c>
      <c r="BV8" s="0" t="n">
        <v>4</v>
      </c>
      <c r="BW8" s="0" t="n">
        <v>4</v>
      </c>
      <c r="BX8" s="0" t="n">
        <v>5.1</v>
      </c>
      <c r="BY8" s="0" t="n">
        <v>5.1</v>
      </c>
      <c r="BZ8" s="0" t="n">
        <v>4</v>
      </c>
      <c r="CA8" s="0" t="n">
        <v>4</v>
      </c>
      <c r="CB8" s="0" t="n">
        <v>1</v>
      </c>
      <c r="CC8" s="0" t="n">
        <v>1</v>
      </c>
      <c r="CD8" s="0" t="n">
        <v>1</v>
      </c>
      <c r="CE8" s="0" t="n">
        <v>1</v>
      </c>
      <c r="CF8" s="0" t="n">
        <v>4</v>
      </c>
      <c r="CG8" s="0" t="n">
        <v>4</v>
      </c>
      <c r="CH8" s="0" t="n">
        <v>4</v>
      </c>
      <c r="CI8" s="0" t="n">
        <v>4</v>
      </c>
      <c r="CJ8" s="0" t="n">
        <v>4</v>
      </c>
      <c r="CK8" s="0" t="n">
        <v>4</v>
      </c>
      <c r="CL8" s="0" t="n">
        <v>2</v>
      </c>
      <c r="CM8" s="0" t="n">
        <v>2</v>
      </c>
      <c r="CN8" s="0" t="n">
        <v>9</v>
      </c>
      <c r="CO8" s="0" t="n">
        <v>9</v>
      </c>
      <c r="CP8" s="0" t="n">
        <v>10</v>
      </c>
      <c r="CQ8" s="0" t="n">
        <v>10</v>
      </c>
      <c r="CR8" s="0" t="n">
        <v>10</v>
      </c>
      <c r="CS8" s="0" t="n">
        <v>10</v>
      </c>
      <c r="CT8" s="0" t="n">
        <v>10</v>
      </c>
      <c r="CU8" s="0" t="n">
        <v>10</v>
      </c>
      <c r="CV8" s="0" t="n">
        <v>4</v>
      </c>
      <c r="CW8" s="0" t="n">
        <v>4</v>
      </c>
      <c r="CX8" s="0" t="n">
        <v>9</v>
      </c>
      <c r="CY8" s="0" t="n">
        <v>9</v>
      </c>
      <c r="CZ8" s="0" t="n">
        <v>10</v>
      </c>
      <c r="DA8" s="0" t="n">
        <v>10</v>
      </c>
      <c r="DB8" s="0" t="n">
        <v>10</v>
      </c>
      <c r="DC8" s="0" t="n">
        <v>10</v>
      </c>
      <c r="DD8" s="0" t="n">
        <v>9</v>
      </c>
      <c r="DE8" s="0" t="n">
        <v>9</v>
      </c>
    </row>
    <row r="9" customFormat="false" ht="12.8" hidden="false" customHeight="false" outlineLevel="0" collapsed="false">
      <c r="C9" s="0" t="n">
        <v>0.5</v>
      </c>
      <c r="D9" s="0" t="n">
        <v>1.5</v>
      </c>
      <c r="H9" s="9" t="n">
        <v>6</v>
      </c>
      <c r="I9" s="9"/>
      <c r="K9" s="0" t="n">
        <v>0.75</v>
      </c>
      <c r="L9" s="0" t="n">
        <v>6</v>
      </c>
      <c r="M9" s="0" t="n">
        <v>0.75</v>
      </c>
      <c r="R9" s="9" t="n">
        <f aca="false">R8+1</f>
        <v>6</v>
      </c>
      <c r="S9" s="0" t="n">
        <v>0</v>
      </c>
      <c r="T9" s="0" t="n">
        <v>0.583333333333333</v>
      </c>
      <c r="U9" s="0" t="n">
        <v>0.583333333333333</v>
      </c>
      <c r="V9" s="0" t="n">
        <v>0.583333333333333</v>
      </c>
      <c r="W9" s="0" t="n">
        <v>0.333333333333333</v>
      </c>
      <c r="X9" s="0" t="n">
        <v>0.333333333333333</v>
      </c>
      <c r="Y9" s="0" t="n">
        <v>0.916666666666667</v>
      </c>
      <c r="AB9" s="0" t="n">
        <v>6</v>
      </c>
      <c r="AC9" s="0" t="n">
        <f aca="false">VLOOKUP(S9, $K$3:$L$26, 2, 0)</f>
        <v>0</v>
      </c>
      <c r="AD9" s="0" t="n">
        <f aca="false">VLOOKUP(T9, $K$3:$L$26, 2, 0)</f>
        <v>1</v>
      </c>
      <c r="AE9" s="0" t="n">
        <f aca="false">VLOOKUP(U9, $K$3:$L$26, 2, 0)</f>
        <v>1</v>
      </c>
      <c r="AF9" s="0" t="n">
        <f aca="false">VLOOKUP(V9, $K$3:$L$26, 2, 0)</f>
        <v>1</v>
      </c>
      <c r="AG9" s="0" t="n">
        <f aca="false">VLOOKUP(W9, $K$3:$L$26, 2, 0)</f>
        <v>3</v>
      </c>
      <c r="AH9" s="0" t="n">
        <f aca="false">VLOOKUP(X9, $K$3:$L$26, 2, 0)</f>
        <v>3</v>
      </c>
      <c r="AI9" s="0" t="n">
        <f aca="false">VLOOKUP(Y9, $K$3:$L$26, 2, 0)</f>
        <v>7</v>
      </c>
      <c r="AK9" s="0" t="s">
        <v>119</v>
      </c>
      <c r="AL9" s="0" t="n">
        <v>7</v>
      </c>
      <c r="AM9" s="0" t="n">
        <v>7</v>
      </c>
      <c r="AN9" s="0" t="n">
        <v>7</v>
      </c>
      <c r="AO9" s="0" t="n">
        <v>7</v>
      </c>
      <c r="AP9" s="0" t="n">
        <v>3</v>
      </c>
      <c r="AQ9" s="0" t="n">
        <v>3</v>
      </c>
      <c r="AR9" s="0" t="n">
        <v>6</v>
      </c>
      <c r="AS9" s="0" t="n">
        <v>6</v>
      </c>
      <c r="AT9" s="0" t="n">
        <v>7</v>
      </c>
      <c r="AU9" s="0" t="n">
        <v>7</v>
      </c>
      <c r="AV9" s="0" t="n">
        <v>7</v>
      </c>
      <c r="AW9" s="0" t="n">
        <v>7</v>
      </c>
      <c r="AX9" s="0" t="n">
        <v>6</v>
      </c>
      <c r="AY9" s="0" t="n">
        <v>6</v>
      </c>
      <c r="AZ9" s="0" t="n">
        <v>6</v>
      </c>
      <c r="BA9" s="0" t="n">
        <v>6</v>
      </c>
      <c r="BB9" s="0" t="n">
        <v>6</v>
      </c>
      <c r="BC9" s="0" t="n">
        <v>6</v>
      </c>
      <c r="BD9" s="0" t="n">
        <v>5</v>
      </c>
      <c r="BE9" s="0" t="n">
        <v>5</v>
      </c>
      <c r="BF9" s="0" t="n">
        <v>6.1</v>
      </c>
      <c r="BG9" s="0" t="n">
        <v>6.1</v>
      </c>
      <c r="BH9" s="0" t="n">
        <v>6.1</v>
      </c>
      <c r="BI9" s="0" t="n">
        <v>6.1</v>
      </c>
      <c r="BJ9" s="0" t="n">
        <v>5</v>
      </c>
      <c r="BK9" s="0" t="n">
        <v>5</v>
      </c>
      <c r="BL9" s="0" t="n">
        <v>6</v>
      </c>
      <c r="BM9" s="0" t="n">
        <v>6</v>
      </c>
      <c r="BN9" s="0" t="n">
        <v>6.1</v>
      </c>
      <c r="BO9" s="0" t="n">
        <v>6.1</v>
      </c>
      <c r="BP9" s="0" t="n">
        <v>5</v>
      </c>
      <c r="BQ9" s="0" t="n">
        <v>5</v>
      </c>
      <c r="BR9" s="0" t="n">
        <v>5</v>
      </c>
      <c r="BS9" s="0" t="n">
        <v>5</v>
      </c>
      <c r="BT9" s="0" t="n">
        <v>10</v>
      </c>
      <c r="BU9" s="0" t="n">
        <v>10</v>
      </c>
      <c r="BV9" s="0" t="n">
        <v>5.1</v>
      </c>
      <c r="BW9" s="0" t="n">
        <v>5.1</v>
      </c>
      <c r="BX9" s="0" t="n">
        <v>9</v>
      </c>
      <c r="BY9" s="0" t="n">
        <v>9</v>
      </c>
      <c r="BZ9" s="0" t="n">
        <v>5.1</v>
      </c>
      <c r="CA9" s="0" t="n">
        <v>5.1</v>
      </c>
      <c r="CB9" s="0" t="n">
        <v>1</v>
      </c>
      <c r="CC9" s="0" t="n">
        <v>1</v>
      </c>
      <c r="CD9" s="0" t="n">
        <v>10</v>
      </c>
      <c r="CE9" s="0" t="n">
        <v>10</v>
      </c>
      <c r="CF9" s="0" t="n">
        <v>10</v>
      </c>
      <c r="CG9" s="0" t="n">
        <v>10</v>
      </c>
      <c r="CH9" s="0" t="n">
        <v>4</v>
      </c>
      <c r="CI9" s="0" t="n">
        <v>4</v>
      </c>
      <c r="CJ9" s="0" t="n">
        <v>9</v>
      </c>
      <c r="CK9" s="0" t="n">
        <v>9</v>
      </c>
      <c r="CL9" s="0" t="n">
        <v>9</v>
      </c>
      <c r="CM9" s="0" t="n">
        <v>9</v>
      </c>
      <c r="CN9" s="0" t="n">
        <v>10</v>
      </c>
      <c r="CO9" s="0" t="n">
        <v>10</v>
      </c>
      <c r="CP9" s="0" t="n">
        <v>10</v>
      </c>
      <c r="CQ9" s="0" t="n">
        <v>10</v>
      </c>
      <c r="CR9" s="0" t="n">
        <v>10</v>
      </c>
      <c r="CS9" s="0" t="n">
        <v>10</v>
      </c>
      <c r="CT9" s="0" t="n">
        <v>10</v>
      </c>
      <c r="CU9" s="0" t="n">
        <v>10</v>
      </c>
      <c r="CV9" s="0" t="n">
        <v>10</v>
      </c>
      <c r="CW9" s="0" t="n">
        <v>10</v>
      </c>
      <c r="CX9" s="0" t="n">
        <v>10</v>
      </c>
      <c r="CY9" s="0" t="n">
        <v>10</v>
      </c>
      <c r="CZ9" s="0" t="n">
        <v>10</v>
      </c>
      <c r="DA9" s="0" t="n">
        <v>10</v>
      </c>
      <c r="DB9" s="0" t="n">
        <v>10</v>
      </c>
      <c r="DC9" s="0" t="n">
        <v>10</v>
      </c>
      <c r="DD9" s="0" t="n">
        <v>10.1</v>
      </c>
      <c r="DE9" s="0" t="n">
        <v>10.1</v>
      </c>
    </row>
    <row r="10" customFormat="false" ht="12.8" hidden="false" customHeight="false" outlineLevel="0" collapsed="false">
      <c r="C10" s="0" t="n">
        <v>0.583333333333333</v>
      </c>
      <c r="D10" s="0" t="n">
        <v>1.583</v>
      </c>
      <c r="H10" s="9" t="n">
        <v>7</v>
      </c>
      <c r="I10" s="9"/>
      <c r="K10" s="0" t="n">
        <v>0.916666666666667</v>
      </c>
      <c r="L10" s="0" t="n">
        <v>7</v>
      </c>
      <c r="M10" s="0" t="n">
        <v>0.916666666666667</v>
      </c>
      <c r="R10" s="9" t="n">
        <f aca="false">R9+1</f>
        <v>7</v>
      </c>
      <c r="S10" s="0" t="n">
        <v>0</v>
      </c>
      <c r="T10" s="0" t="n">
        <v>0.583333333333333</v>
      </c>
      <c r="U10" s="0" t="n">
        <v>0.166666666666667</v>
      </c>
      <c r="V10" s="0" t="n">
        <v>0.75</v>
      </c>
      <c r="W10" s="0" t="n">
        <v>0.333333333333333</v>
      </c>
      <c r="X10" s="0" t="n">
        <v>0.333333333333333</v>
      </c>
      <c r="Y10" s="0" t="n">
        <v>0.916666666666667</v>
      </c>
      <c r="AB10" s="0" t="n">
        <v>7</v>
      </c>
      <c r="AC10" s="0" t="n">
        <f aca="false">VLOOKUP(S10, $K$3:$L$26, 2, 0)</f>
        <v>0</v>
      </c>
      <c r="AD10" s="0" t="n">
        <f aca="false">VLOOKUP(T10, $K$3:$L$26, 2, 0)</f>
        <v>1</v>
      </c>
      <c r="AE10" s="0" t="n">
        <f aca="false">VLOOKUP(U10, $K$3:$L$26, 2, 0)</f>
        <v>5</v>
      </c>
      <c r="AF10" s="0" t="n">
        <f aca="false">VLOOKUP(V10, $K$3:$L$26, 2, 0)</f>
        <v>6</v>
      </c>
      <c r="AG10" s="0" t="n">
        <f aca="false">VLOOKUP(W10, $K$3:$L$26, 2, 0)</f>
        <v>3</v>
      </c>
      <c r="AH10" s="0" t="n">
        <f aca="false">VLOOKUP(X10, $K$3:$L$26, 2, 0)</f>
        <v>3</v>
      </c>
      <c r="AI10" s="0" t="n">
        <f aca="false">VLOOKUP(Y10, $K$3:$L$26, 2, 0)</f>
        <v>7</v>
      </c>
      <c r="AK10" s="0" t="s">
        <v>120</v>
      </c>
      <c r="AL10" s="0" t="n">
        <v>8.1</v>
      </c>
      <c r="AM10" s="0" t="n">
        <v>8.1</v>
      </c>
      <c r="AN10" s="0" t="n">
        <v>8.1</v>
      </c>
      <c r="AO10" s="0" t="n">
        <v>8.1</v>
      </c>
      <c r="AP10" s="0" t="n">
        <v>7</v>
      </c>
      <c r="AQ10" s="0" t="n">
        <v>7</v>
      </c>
      <c r="AR10" s="0" t="n">
        <v>7</v>
      </c>
      <c r="AS10" s="0" t="n">
        <v>7</v>
      </c>
      <c r="AT10" s="0" t="n">
        <v>10</v>
      </c>
      <c r="AU10" s="0" t="n">
        <v>10</v>
      </c>
      <c r="AV10" s="0" t="n">
        <v>10</v>
      </c>
      <c r="AW10" s="0" t="n">
        <v>10</v>
      </c>
      <c r="AX10" s="0" t="n">
        <v>6</v>
      </c>
      <c r="AY10" s="0" t="n">
        <v>6</v>
      </c>
      <c r="AZ10" s="0" t="n">
        <v>10</v>
      </c>
      <c r="BA10" s="0" t="n">
        <v>10</v>
      </c>
      <c r="BB10" s="0" t="n">
        <v>10</v>
      </c>
      <c r="BC10" s="0" t="n">
        <v>10</v>
      </c>
      <c r="BD10" s="0" t="n">
        <v>6.1</v>
      </c>
      <c r="BE10" s="0" t="n">
        <v>6.1</v>
      </c>
      <c r="BF10" s="0" t="n">
        <v>10</v>
      </c>
      <c r="BG10" s="0" t="n">
        <v>10</v>
      </c>
      <c r="BH10" s="0" t="n">
        <v>10</v>
      </c>
      <c r="BI10" s="0" t="n">
        <v>10</v>
      </c>
      <c r="BJ10" s="0" t="n">
        <v>6</v>
      </c>
      <c r="BK10" s="0" t="n">
        <v>6</v>
      </c>
      <c r="BL10" s="0" t="n">
        <v>10</v>
      </c>
      <c r="BM10" s="0" t="n">
        <v>10</v>
      </c>
      <c r="BN10" s="0" t="n">
        <v>10</v>
      </c>
      <c r="BO10" s="0" t="n">
        <v>10</v>
      </c>
      <c r="BP10" s="0" t="n">
        <v>5</v>
      </c>
      <c r="BQ10" s="0" t="n">
        <v>5</v>
      </c>
      <c r="BR10" s="0" t="n">
        <v>10</v>
      </c>
      <c r="BS10" s="0" t="n">
        <v>10</v>
      </c>
      <c r="BT10" s="0" t="n">
        <v>10</v>
      </c>
      <c r="BU10" s="0" t="n">
        <v>10</v>
      </c>
      <c r="BV10" s="0" t="n">
        <v>10</v>
      </c>
      <c r="BW10" s="0" t="n">
        <v>10</v>
      </c>
      <c r="BX10" s="0" t="n">
        <v>10</v>
      </c>
      <c r="BY10" s="0" t="n">
        <v>10</v>
      </c>
      <c r="BZ10" s="0" t="n">
        <v>9</v>
      </c>
      <c r="CA10" s="0" t="n">
        <v>9</v>
      </c>
      <c r="CB10" s="0" t="n">
        <v>1</v>
      </c>
      <c r="CC10" s="0" t="n">
        <v>1</v>
      </c>
      <c r="CD10" s="0" t="n">
        <v>10</v>
      </c>
      <c r="CE10" s="0" t="n">
        <v>10</v>
      </c>
      <c r="CF10" s="0" t="n">
        <v>10</v>
      </c>
      <c r="CG10" s="0" t="n">
        <v>10</v>
      </c>
      <c r="CH10" s="0" t="n">
        <v>10</v>
      </c>
      <c r="CI10" s="0" t="n">
        <v>10</v>
      </c>
      <c r="CJ10" s="0" t="n">
        <v>10</v>
      </c>
      <c r="CK10" s="0" t="n">
        <v>10</v>
      </c>
      <c r="CL10" s="0" t="n">
        <v>9</v>
      </c>
      <c r="CM10" s="0" t="n">
        <v>9</v>
      </c>
      <c r="CN10" s="0" t="n">
        <v>11</v>
      </c>
      <c r="CO10" s="0" t="n">
        <v>11</v>
      </c>
      <c r="CP10" s="0" t="n">
        <v>11</v>
      </c>
      <c r="CQ10" s="0" t="n">
        <v>11</v>
      </c>
      <c r="CR10" s="0" t="n">
        <v>10</v>
      </c>
      <c r="CS10" s="0" t="n">
        <v>10</v>
      </c>
      <c r="CT10" s="0" t="n">
        <v>10</v>
      </c>
      <c r="CU10" s="0" t="n">
        <v>10</v>
      </c>
      <c r="CV10" s="0" t="n">
        <v>10</v>
      </c>
      <c r="CW10" s="0" t="n">
        <v>10</v>
      </c>
      <c r="CX10" s="0" t="n">
        <v>10</v>
      </c>
      <c r="CY10" s="0" t="n">
        <v>10</v>
      </c>
      <c r="CZ10" s="0" t="n">
        <v>11</v>
      </c>
      <c r="DA10" s="0" t="n">
        <v>11</v>
      </c>
      <c r="DB10" s="0" t="n">
        <v>11</v>
      </c>
      <c r="DC10" s="0" t="n">
        <v>11</v>
      </c>
      <c r="DD10" s="0" t="n">
        <v>11</v>
      </c>
      <c r="DE10" s="0" t="n">
        <v>11</v>
      </c>
    </row>
    <row r="11" customFormat="false" ht="12.8" hidden="false" customHeight="false" outlineLevel="0" collapsed="false">
      <c r="C11" s="0" t="n">
        <v>0.666666666666667</v>
      </c>
      <c r="H11" s="9" t="s">
        <v>130</v>
      </c>
      <c r="I11" s="9"/>
      <c r="K11" s="0" t="n">
        <v>0.5</v>
      </c>
      <c r="L11" s="0" t="n">
        <v>8</v>
      </c>
      <c r="M11" s="0" t="n">
        <v>0.5</v>
      </c>
      <c r="R11" s="9" t="n">
        <f aca="false">R10+1</f>
        <v>8</v>
      </c>
      <c r="S11" s="0" t="n">
        <v>0</v>
      </c>
      <c r="T11" s="0" t="n">
        <v>0.583333333333333</v>
      </c>
      <c r="U11" s="0" t="n">
        <v>0.166666666666667</v>
      </c>
      <c r="V11" s="0" t="n">
        <v>0.75</v>
      </c>
      <c r="W11" s="0" t="n">
        <v>0.333333333333333</v>
      </c>
      <c r="X11" s="0" t="n">
        <v>0.333333333333333</v>
      </c>
      <c r="Y11" s="0" t="n">
        <v>0.916666666666667</v>
      </c>
      <c r="AB11" s="0" t="n">
        <v>8</v>
      </c>
      <c r="AC11" s="0" t="n">
        <f aca="false">VLOOKUP(S11, $K$3:$L$26, 2, 0)</f>
        <v>0</v>
      </c>
      <c r="AD11" s="0" t="n">
        <f aca="false">VLOOKUP(T11, $K$3:$L$26, 2, 0)</f>
        <v>1</v>
      </c>
      <c r="AE11" s="0" t="n">
        <f aca="false">VLOOKUP(U11, $K$3:$L$26, 2, 0)</f>
        <v>5</v>
      </c>
      <c r="AF11" s="0" t="n">
        <f aca="false">VLOOKUP(V11, $K$3:$L$26, 2, 0)</f>
        <v>6</v>
      </c>
      <c r="AG11" s="0" t="n">
        <f aca="false">VLOOKUP(W11, $K$3:$L$26, 2, 0)</f>
        <v>3</v>
      </c>
      <c r="AH11" s="0" t="n">
        <f aca="false">VLOOKUP(X11, $K$3:$L$26, 2, 0)</f>
        <v>3</v>
      </c>
      <c r="AI11" s="0" t="n">
        <f aca="false">VLOOKUP(Y11, $K$3:$L$26, 2, 0)</f>
        <v>7</v>
      </c>
    </row>
    <row r="12" customFormat="false" ht="12.8" hidden="false" customHeight="false" outlineLevel="0" collapsed="false">
      <c r="C12" s="0" t="n">
        <v>0.75</v>
      </c>
      <c r="D12" s="0" t="n">
        <v>1.75</v>
      </c>
      <c r="H12" s="9" t="s">
        <v>106</v>
      </c>
      <c r="I12" s="9"/>
      <c r="K12" s="0" t="n">
        <v>0.666666666666667</v>
      </c>
      <c r="L12" s="0" t="n">
        <v>9</v>
      </c>
      <c r="M12" s="0" t="n">
        <v>0.666666666666667</v>
      </c>
      <c r="R12" s="9" t="n">
        <f aca="false">R11+1</f>
        <v>9</v>
      </c>
      <c r="S12" s="0" t="n">
        <v>0.416666666666667</v>
      </c>
      <c r="T12" s="0" t="n">
        <v>0</v>
      </c>
      <c r="U12" s="0" t="n">
        <v>0.583333333333333</v>
      </c>
      <c r="V12" s="0" t="n">
        <v>0.166666666666667</v>
      </c>
      <c r="W12" s="0" t="n">
        <v>0.75</v>
      </c>
      <c r="X12" s="0" t="n">
        <v>1.333</v>
      </c>
      <c r="Y12" s="0" t="n">
        <v>0.916666666666667</v>
      </c>
      <c r="AB12" s="0" t="n">
        <v>9</v>
      </c>
      <c r="AC12" s="0" t="n">
        <f aca="false">VLOOKUP(S12, $K$3:$L$26, 2, 0)</f>
        <v>10</v>
      </c>
      <c r="AD12" s="0" t="n">
        <f aca="false">VLOOKUP(T12, $K$3:$L$26, 2, 0)</f>
        <v>0</v>
      </c>
      <c r="AE12" s="0" t="n">
        <f aca="false">VLOOKUP(U12, $K$3:$L$26, 2, 0)</f>
        <v>1</v>
      </c>
      <c r="AF12" s="0" t="n">
        <f aca="false">VLOOKUP(V12, $K$3:$L$26, 2, 0)</f>
        <v>5</v>
      </c>
      <c r="AG12" s="0" t="n">
        <f aca="false">VLOOKUP(W12, $K$3:$L$26, 2, 0)</f>
        <v>6</v>
      </c>
      <c r="AH12" s="0" t="n">
        <f aca="false">VLOOKUP(X12, $K$3:$L$26, 2, 0)</f>
        <v>3.1</v>
      </c>
      <c r="AI12" s="0" t="n">
        <f aca="false">VLOOKUP(Y12, $K$3:$L$26, 2, 0)</f>
        <v>7</v>
      </c>
      <c r="AW12" s="36" t="s">
        <v>131</v>
      </c>
    </row>
    <row r="13" customFormat="false" ht="12.8" hidden="false" customHeight="false" outlineLevel="0" collapsed="false">
      <c r="C13" s="0" t="n">
        <v>0.833333333333333</v>
      </c>
      <c r="H13" s="9" t="s">
        <v>132</v>
      </c>
      <c r="I13" s="9"/>
      <c r="K13" s="0" t="n">
        <v>0.416666666666667</v>
      </c>
      <c r="L13" s="0" t="n">
        <v>10</v>
      </c>
      <c r="M13" s="0" t="n">
        <v>0.416666666666667</v>
      </c>
      <c r="R13" s="9" t="n">
        <f aca="false">R12+1</f>
        <v>10</v>
      </c>
      <c r="S13" s="0" t="n">
        <v>0.416666666666667</v>
      </c>
      <c r="T13" s="0" t="n">
        <v>0</v>
      </c>
      <c r="U13" s="0" t="n">
        <v>0.583333333333333</v>
      </c>
      <c r="V13" s="0" t="n">
        <v>0.166666666666667</v>
      </c>
      <c r="W13" s="0" t="n">
        <v>0.75</v>
      </c>
      <c r="X13" s="0" t="n">
        <v>1.333</v>
      </c>
      <c r="Y13" s="0" t="n">
        <v>0.916666666666667</v>
      </c>
      <c r="AB13" s="0" t="n">
        <v>10</v>
      </c>
      <c r="AC13" s="0" t="n">
        <f aca="false">VLOOKUP(S13, $K$3:$L$26, 2, 0)</f>
        <v>10</v>
      </c>
      <c r="AD13" s="0" t="n">
        <f aca="false">VLOOKUP(T13, $K$3:$L$26, 2, 0)</f>
        <v>0</v>
      </c>
      <c r="AE13" s="0" t="n">
        <f aca="false">VLOOKUP(U13, $K$3:$L$26, 2, 0)</f>
        <v>1</v>
      </c>
      <c r="AF13" s="0" t="n">
        <f aca="false">VLOOKUP(V13, $K$3:$L$26, 2, 0)</f>
        <v>5</v>
      </c>
      <c r="AG13" s="0" t="n">
        <f aca="false">VLOOKUP(W13, $K$3:$L$26, 2, 0)</f>
        <v>6</v>
      </c>
      <c r="AH13" s="0" t="n">
        <f aca="false">VLOOKUP(X13, $K$3:$L$26, 2, 0)</f>
        <v>3.1</v>
      </c>
      <c r="AI13" s="0" t="n">
        <f aca="false">VLOOKUP(Y13, $K$3:$L$26, 2, 0)</f>
        <v>7</v>
      </c>
    </row>
    <row r="14" customFormat="false" ht="12.8" hidden="false" customHeight="false" outlineLevel="0" collapsed="false">
      <c r="C14" s="0" t="n">
        <v>0.916666666666667</v>
      </c>
      <c r="H14" s="9" t="s">
        <v>102</v>
      </c>
      <c r="I14" s="9"/>
      <c r="K14" s="0" t="n">
        <v>0.0833333333333333</v>
      </c>
      <c r="L14" s="0" t="n">
        <v>11</v>
      </c>
      <c r="M14" s="0" t="n">
        <v>0.0833333333333333</v>
      </c>
      <c r="R14" s="9" t="n">
        <f aca="false">R13+1</f>
        <v>11</v>
      </c>
      <c r="S14" s="0" t="n">
        <v>0.416666666666667</v>
      </c>
      <c r="T14" s="0" t="n">
        <v>0</v>
      </c>
      <c r="U14" s="0" t="n">
        <v>0.583333333333333</v>
      </c>
      <c r="V14" s="0" t="n">
        <v>0.583333333333333</v>
      </c>
      <c r="W14" s="0" t="n">
        <v>0.75</v>
      </c>
      <c r="X14" s="0" t="n">
        <v>1.333</v>
      </c>
      <c r="Y14" s="0" t="n">
        <v>0.916666666666667</v>
      </c>
      <c r="AB14" s="0" t="n">
        <v>11</v>
      </c>
      <c r="AC14" s="0" t="n">
        <f aca="false">VLOOKUP(S14, $K$3:$L$26, 2, 0)</f>
        <v>10</v>
      </c>
      <c r="AD14" s="0" t="n">
        <f aca="false">VLOOKUP(T14, $K$3:$L$26, 2, 0)</f>
        <v>0</v>
      </c>
      <c r="AE14" s="0" t="n">
        <f aca="false">VLOOKUP(U14, $K$3:$L$26, 2, 0)</f>
        <v>1</v>
      </c>
      <c r="AF14" s="0" t="n">
        <f aca="false">VLOOKUP(V14, $K$3:$L$26, 2, 0)</f>
        <v>1</v>
      </c>
      <c r="AG14" s="0" t="n">
        <f aca="false">VLOOKUP(W14, $K$3:$L$26, 2, 0)</f>
        <v>6</v>
      </c>
      <c r="AH14" s="0" t="n">
        <f aca="false">VLOOKUP(X14, $K$3:$L$26, 2, 0)</f>
        <v>3.1</v>
      </c>
      <c r="AI14" s="0" t="n">
        <f aca="false">VLOOKUP(Y14, $K$3:$L$26, 2, 0)</f>
        <v>7</v>
      </c>
      <c r="AK14" s="36"/>
      <c r="AL14" s="36" t="s">
        <v>114</v>
      </c>
      <c r="AM14" s="36" t="s">
        <v>115</v>
      </c>
      <c r="AN14" s="36" t="s">
        <v>116</v>
      </c>
      <c r="AO14" s="36" t="s">
        <v>117</v>
      </c>
      <c r="AP14" s="36" t="s">
        <v>118</v>
      </c>
      <c r="AQ14" s="36" t="s">
        <v>119</v>
      </c>
      <c r="AR14" s="36" t="s">
        <v>120</v>
      </c>
      <c r="AU14" s="37"/>
      <c r="AV14" s="37" t="s">
        <v>114</v>
      </c>
      <c r="AW14" s="37" t="s">
        <v>115</v>
      </c>
      <c r="AX14" s="37" t="s">
        <v>116</v>
      </c>
      <c r="AY14" s="37" t="s">
        <v>117</v>
      </c>
      <c r="AZ14" s="37" t="s">
        <v>118</v>
      </c>
      <c r="BA14" s="37" t="s">
        <v>119</v>
      </c>
      <c r="BB14" s="37" t="s">
        <v>120</v>
      </c>
    </row>
    <row r="15" customFormat="false" ht="12.8" hidden="false" customHeight="false" outlineLevel="0" collapsed="false">
      <c r="K15" s="0" t="n">
        <v>1</v>
      </c>
      <c r="L15" s="0" t="n">
        <v>0.1</v>
      </c>
      <c r="M15" s="0" t="n">
        <v>1</v>
      </c>
      <c r="R15" s="9" t="n">
        <f aca="false">R14+1</f>
        <v>12</v>
      </c>
      <c r="S15" s="0" t="n">
        <v>0.416666666666667</v>
      </c>
      <c r="T15" s="0" t="n">
        <v>0</v>
      </c>
      <c r="U15" s="0" t="n">
        <v>0.583333333333333</v>
      </c>
      <c r="V15" s="0" t="n">
        <v>0.583333333333333</v>
      </c>
      <c r="W15" s="0" t="n">
        <v>0.75</v>
      </c>
      <c r="X15" s="0" t="n">
        <v>1.333</v>
      </c>
      <c r="Y15" s="0" t="n">
        <v>0.916666666666667</v>
      </c>
      <c r="AB15" s="0" t="n">
        <v>12</v>
      </c>
      <c r="AC15" s="0" t="n">
        <f aca="false">VLOOKUP(S15, $K$3:$L$26, 2, 0)</f>
        <v>10</v>
      </c>
      <c r="AD15" s="0" t="n">
        <f aca="false">VLOOKUP(T15, $K$3:$L$26, 2, 0)</f>
        <v>0</v>
      </c>
      <c r="AE15" s="0" t="n">
        <f aca="false">VLOOKUP(U15, $K$3:$L$26, 2, 0)</f>
        <v>1</v>
      </c>
      <c r="AF15" s="0" t="n">
        <f aca="false">VLOOKUP(V15, $K$3:$L$26, 2, 0)</f>
        <v>1</v>
      </c>
      <c r="AG15" s="0" t="n">
        <f aca="false">VLOOKUP(W15, $K$3:$L$26, 2, 0)</f>
        <v>6</v>
      </c>
      <c r="AH15" s="0" t="n">
        <f aca="false">VLOOKUP(X15, $K$3:$L$26, 2, 0)</f>
        <v>3.1</v>
      </c>
      <c r="AI15" s="0" t="n">
        <f aca="false">VLOOKUP(Y15, $K$3:$L$26, 2, 0)</f>
        <v>7</v>
      </c>
      <c r="AK15" s="36" t="n">
        <v>1</v>
      </c>
      <c r="AL15" s="0" t="n">
        <v>0</v>
      </c>
      <c r="AM15" s="0" t="n">
        <v>1</v>
      </c>
      <c r="AN15" s="0" t="n">
        <v>3</v>
      </c>
      <c r="AO15" s="0" t="n">
        <v>3</v>
      </c>
      <c r="AP15" s="0" t="n">
        <v>5</v>
      </c>
      <c r="AQ15" s="0" t="n">
        <v>7</v>
      </c>
      <c r="AR15" s="0" t="n">
        <v>8.1</v>
      </c>
      <c r="AU15" s="37" t="n">
        <v>1</v>
      </c>
      <c r="AV15" s="38" t="n">
        <f aca="false">VLOOKUP(AL15, $L$3:$M$26, 2, 0)</f>
        <v>0</v>
      </c>
      <c r="AW15" s="38" t="n">
        <f aca="false">VLOOKUP(AM15, $L$3:$M$26, 2, 0)</f>
        <v>0.583333333333333</v>
      </c>
      <c r="AX15" s="38" t="n">
        <f aca="false">VLOOKUP(AN15, $L$3:$M$26, 2, 0)</f>
        <v>0.333333333333333</v>
      </c>
      <c r="AY15" s="38" t="n">
        <f aca="false">VLOOKUP(AO15, $L$3:$M$26, 2, 0)</f>
        <v>0.333333333333333</v>
      </c>
      <c r="AZ15" s="38" t="n">
        <f aca="false">VLOOKUP(AP15, $L$3:$M$26, 2, 0)</f>
        <v>0.166666666666667</v>
      </c>
      <c r="BA15" s="38" t="n">
        <f aca="false">VLOOKUP(AQ15, $L$3:$M$26, 2, 0)</f>
        <v>0.916666666666667</v>
      </c>
      <c r="BB15" s="38" t="n">
        <f aca="false">VLOOKUP(AR15, $L$3:$M$26, 2, 0)</f>
        <v>1.5</v>
      </c>
    </row>
    <row r="16" customFormat="false" ht="12.8" hidden="false" customHeight="false" outlineLevel="0" collapsed="false">
      <c r="K16" s="0" t="n">
        <v>1.583</v>
      </c>
      <c r="L16" s="0" t="n">
        <v>1.1</v>
      </c>
      <c r="M16" s="0" t="n">
        <v>1.583</v>
      </c>
      <c r="R16" s="9" t="n">
        <f aca="false">R15+1</f>
        <v>13</v>
      </c>
      <c r="S16" s="0" t="n">
        <v>0</v>
      </c>
      <c r="T16" s="0" t="n">
        <v>0.583333333333333</v>
      </c>
      <c r="U16" s="0" t="n">
        <v>0.583333333333333</v>
      </c>
      <c r="V16" s="0" t="n">
        <v>0.166666666666667</v>
      </c>
      <c r="W16" s="0" t="n">
        <v>0.75</v>
      </c>
      <c r="X16" s="0" t="n">
        <v>0.75</v>
      </c>
      <c r="Y16" s="0" t="n">
        <v>0.333333333333333</v>
      </c>
      <c r="AB16" s="0" t="n">
        <v>13</v>
      </c>
      <c r="AC16" s="0" t="n">
        <f aca="false">VLOOKUP(S16, $K$3:$L$26, 2, 0)</f>
        <v>0</v>
      </c>
      <c r="AD16" s="0" t="n">
        <f aca="false">VLOOKUP(T16, $K$3:$L$26, 2, 0)</f>
        <v>1</v>
      </c>
      <c r="AE16" s="0" t="n">
        <f aca="false">VLOOKUP(U16, $K$3:$L$26, 2, 0)</f>
        <v>1</v>
      </c>
      <c r="AF16" s="0" t="n">
        <f aca="false">VLOOKUP(V16, $K$3:$L$26, 2, 0)</f>
        <v>5</v>
      </c>
      <c r="AG16" s="0" t="n">
        <f aca="false">VLOOKUP(W16, $K$3:$L$26, 2, 0)</f>
        <v>6</v>
      </c>
      <c r="AH16" s="0" t="n">
        <f aca="false">VLOOKUP(X16, $K$3:$L$26, 2, 0)</f>
        <v>6</v>
      </c>
      <c r="AI16" s="0" t="n">
        <f aca="false">VLOOKUP(Y16, $K$3:$L$26, 2, 0)</f>
        <v>3</v>
      </c>
      <c r="AK16" s="36" t="n">
        <v>2</v>
      </c>
      <c r="AL16" s="0" t="n">
        <v>0</v>
      </c>
      <c r="AM16" s="0" t="n">
        <v>1</v>
      </c>
      <c r="AN16" s="0" t="n">
        <v>3</v>
      </c>
      <c r="AO16" s="0" t="n">
        <v>3</v>
      </c>
      <c r="AP16" s="0" t="n">
        <v>5</v>
      </c>
      <c r="AQ16" s="0" t="n">
        <v>7</v>
      </c>
      <c r="AR16" s="0" t="n">
        <v>8.1</v>
      </c>
      <c r="AU16" s="37" t="n">
        <v>2</v>
      </c>
      <c r="AV16" s="38" t="n">
        <f aca="false">VLOOKUP(AL16, $L$3:$M$26, 2, 0)</f>
        <v>0</v>
      </c>
      <c r="AW16" s="38" t="n">
        <f aca="false">VLOOKUP(AM16, $L$3:$M$26, 2, 0)</f>
        <v>0.583333333333333</v>
      </c>
      <c r="AX16" s="38" t="n">
        <f aca="false">VLOOKUP(AN16, $L$3:$M$26, 2, 0)</f>
        <v>0.333333333333333</v>
      </c>
      <c r="AY16" s="38" t="n">
        <f aca="false">VLOOKUP(AO16, $L$3:$M$26, 2, 0)</f>
        <v>0.333333333333333</v>
      </c>
      <c r="AZ16" s="38" t="n">
        <f aca="false">VLOOKUP(AP16, $L$3:$M$26, 2, 0)</f>
        <v>0.166666666666667</v>
      </c>
      <c r="BA16" s="38" t="n">
        <f aca="false">VLOOKUP(AQ16, $L$3:$M$26, 2, 0)</f>
        <v>0.916666666666667</v>
      </c>
      <c r="BB16" s="38" t="n">
        <f aca="false">VLOOKUP(AR16, $L$3:$M$26, 2, 0)</f>
        <v>1.5</v>
      </c>
    </row>
    <row r="17" customFormat="false" ht="12.8" hidden="false" customHeight="false" outlineLevel="0" collapsed="false">
      <c r="L17" s="0" t="n">
        <v>2.1</v>
      </c>
      <c r="R17" s="9" t="n">
        <f aca="false">R16+1</f>
        <v>14</v>
      </c>
      <c r="S17" s="0" t="n">
        <v>0</v>
      </c>
      <c r="T17" s="0" t="n">
        <v>0.583333333333333</v>
      </c>
      <c r="U17" s="0" t="n">
        <v>0.583333333333333</v>
      </c>
      <c r="V17" s="0" t="n">
        <v>0.166666666666667</v>
      </c>
      <c r="W17" s="0" t="n">
        <v>0.75</v>
      </c>
      <c r="X17" s="0" t="n">
        <v>0.75</v>
      </c>
      <c r="Y17" s="0" t="n">
        <v>0.333333333333333</v>
      </c>
      <c r="AB17" s="0" t="n">
        <v>14</v>
      </c>
      <c r="AC17" s="0" t="n">
        <f aca="false">VLOOKUP(S17, $K$3:$L$26, 2, 0)</f>
        <v>0</v>
      </c>
      <c r="AD17" s="0" t="n">
        <f aca="false">VLOOKUP(T17, $K$3:$L$26, 2, 0)</f>
        <v>1</v>
      </c>
      <c r="AE17" s="0" t="n">
        <f aca="false">VLOOKUP(U17, $K$3:$L$26, 2, 0)</f>
        <v>1</v>
      </c>
      <c r="AF17" s="0" t="n">
        <f aca="false">VLOOKUP(V17, $K$3:$L$26, 2, 0)</f>
        <v>5</v>
      </c>
      <c r="AG17" s="0" t="n">
        <f aca="false">VLOOKUP(W17, $K$3:$L$26, 2, 0)</f>
        <v>6</v>
      </c>
      <c r="AH17" s="0" t="n">
        <f aca="false">VLOOKUP(X17, $K$3:$L$26, 2, 0)</f>
        <v>6</v>
      </c>
      <c r="AI17" s="0" t="n">
        <f aca="false">VLOOKUP(Y17, $K$3:$L$26, 2, 0)</f>
        <v>3</v>
      </c>
      <c r="AK17" s="36" t="n">
        <v>3</v>
      </c>
      <c r="AL17" s="0" t="n">
        <v>0</v>
      </c>
      <c r="AM17" s="0" t="n">
        <v>1</v>
      </c>
      <c r="AN17" s="0" t="n">
        <v>3</v>
      </c>
      <c r="AO17" s="0" t="n">
        <v>5</v>
      </c>
      <c r="AP17" s="0" t="n">
        <v>6</v>
      </c>
      <c r="AQ17" s="0" t="n">
        <v>7</v>
      </c>
      <c r="AR17" s="0" t="n">
        <v>8.1</v>
      </c>
      <c r="AU17" s="37" t="n">
        <v>3</v>
      </c>
      <c r="AV17" s="38" t="n">
        <f aca="false">VLOOKUP(AL17, $L$3:$M$26, 2, 0)</f>
        <v>0</v>
      </c>
      <c r="AW17" s="38" t="n">
        <f aca="false">VLOOKUP(AM17, $L$3:$M$26, 2, 0)</f>
        <v>0.583333333333333</v>
      </c>
      <c r="AX17" s="38" t="n">
        <f aca="false">VLOOKUP(AN17, $L$3:$M$26, 2, 0)</f>
        <v>0.333333333333333</v>
      </c>
      <c r="AY17" s="38" t="n">
        <f aca="false">VLOOKUP(AO17, $L$3:$M$26, 2, 0)</f>
        <v>0.166666666666667</v>
      </c>
      <c r="AZ17" s="38" t="n">
        <f aca="false">VLOOKUP(AP17, $L$3:$M$26, 2, 0)</f>
        <v>0.75</v>
      </c>
      <c r="BA17" s="38" t="n">
        <f aca="false">VLOOKUP(AQ17, $L$3:$M$26, 2, 0)</f>
        <v>0.916666666666667</v>
      </c>
      <c r="BB17" s="38" t="n">
        <f aca="false">VLOOKUP(AR17, $L$3:$M$26, 2, 0)</f>
        <v>1.5</v>
      </c>
    </row>
    <row r="18" customFormat="false" ht="12.8" hidden="false" customHeight="false" outlineLevel="0" collapsed="false">
      <c r="K18" s="0" t="n">
        <v>1.333</v>
      </c>
      <c r="L18" s="0" t="n">
        <v>3.1</v>
      </c>
      <c r="M18" s="0" t="n">
        <v>1.333</v>
      </c>
      <c r="R18" s="9" t="n">
        <f aca="false">R17+1</f>
        <v>15</v>
      </c>
      <c r="S18" s="0" t="n">
        <v>0.416666666666667</v>
      </c>
      <c r="T18" s="0" t="n">
        <v>0</v>
      </c>
      <c r="U18" s="0" t="n">
        <v>0</v>
      </c>
      <c r="V18" s="0" t="n">
        <v>0.75</v>
      </c>
      <c r="W18" s="0" t="n">
        <v>0.75</v>
      </c>
      <c r="X18" s="0" t="n">
        <v>0.75</v>
      </c>
      <c r="Y18" s="0" t="n">
        <v>1.333</v>
      </c>
      <c r="AB18" s="0" t="n">
        <v>15</v>
      </c>
      <c r="AC18" s="0" t="n">
        <f aca="false">VLOOKUP(S18, $K$3:$L$26, 2, 0)</f>
        <v>10</v>
      </c>
      <c r="AD18" s="0" t="n">
        <f aca="false">VLOOKUP(T18, $K$3:$L$26, 2, 0)</f>
        <v>0</v>
      </c>
      <c r="AE18" s="0" t="n">
        <f aca="false">VLOOKUP(U18, $K$3:$L$26, 2, 0)</f>
        <v>0</v>
      </c>
      <c r="AF18" s="0" t="n">
        <f aca="false">VLOOKUP(V18, $K$3:$L$26, 2, 0)</f>
        <v>6</v>
      </c>
      <c r="AG18" s="0" t="n">
        <f aca="false">VLOOKUP(W18, $K$3:$L$26, 2, 0)</f>
        <v>6</v>
      </c>
      <c r="AH18" s="0" t="n">
        <f aca="false">VLOOKUP(X18, $K$3:$L$26, 2, 0)</f>
        <v>6</v>
      </c>
      <c r="AI18" s="0" t="n">
        <f aca="false">VLOOKUP(Y18, $K$3:$L$26, 2, 0)</f>
        <v>3.1</v>
      </c>
      <c r="AK18" s="36" t="n">
        <v>4</v>
      </c>
      <c r="AL18" s="0" t="n">
        <v>0</v>
      </c>
      <c r="AM18" s="0" t="n">
        <v>1</v>
      </c>
      <c r="AN18" s="0" t="n">
        <v>3</v>
      </c>
      <c r="AO18" s="0" t="n">
        <v>5</v>
      </c>
      <c r="AP18" s="0" t="n">
        <v>6</v>
      </c>
      <c r="AQ18" s="0" t="n">
        <v>7</v>
      </c>
      <c r="AR18" s="0" t="n">
        <v>8.1</v>
      </c>
      <c r="AU18" s="37" t="n">
        <v>4</v>
      </c>
      <c r="AV18" s="38" t="n">
        <f aca="false">VLOOKUP(AL18, $L$3:$M$26, 2, 0)</f>
        <v>0</v>
      </c>
      <c r="AW18" s="38" t="n">
        <f aca="false">VLOOKUP(AM18, $L$3:$M$26, 2, 0)</f>
        <v>0.583333333333333</v>
      </c>
      <c r="AX18" s="38" t="n">
        <f aca="false">VLOOKUP(AN18, $L$3:$M$26, 2, 0)</f>
        <v>0.333333333333333</v>
      </c>
      <c r="AY18" s="38" t="n">
        <f aca="false">VLOOKUP(AO18, $L$3:$M$26, 2, 0)</f>
        <v>0.166666666666667</v>
      </c>
      <c r="AZ18" s="38" t="n">
        <f aca="false">VLOOKUP(AP18, $L$3:$M$26, 2, 0)</f>
        <v>0.75</v>
      </c>
      <c r="BA18" s="38" t="n">
        <f aca="false">VLOOKUP(AQ18, $L$3:$M$26, 2, 0)</f>
        <v>0.916666666666667</v>
      </c>
      <c r="BB18" s="38" t="n">
        <f aca="false">VLOOKUP(AR18, $L$3:$M$26, 2, 0)</f>
        <v>1.5</v>
      </c>
    </row>
    <row r="19" customFormat="false" ht="12.8" hidden="false" customHeight="false" outlineLevel="0" collapsed="false">
      <c r="L19" s="0" t="n">
        <v>4.1</v>
      </c>
      <c r="R19" s="9" t="n">
        <f aca="false">R18+1</f>
        <v>16</v>
      </c>
      <c r="S19" s="0" t="n">
        <v>0.416666666666667</v>
      </c>
      <c r="T19" s="0" t="n">
        <v>0</v>
      </c>
      <c r="U19" s="0" t="n">
        <v>0</v>
      </c>
      <c r="V19" s="0" t="n">
        <v>0.75</v>
      </c>
      <c r="W19" s="0" t="n">
        <v>0.75</v>
      </c>
      <c r="X19" s="0" t="n">
        <v>0.75</v>
      </c>
      <c r="Y19" s="0" t="n">
        <v>1.333</v>
      </c>
      <c r="AB19" s="0" t="n">
        <v>16</v>
      </c>
      <c r="AC19" s="0" t="n">
        <f aca="false">VLOOKUP(S19, $K$3:$L$26, 2, 0)</f>
        <v>10</v>
      </c>
      <c r="AD19" s="0" t="n">
        <f aca="false">VLOOKUP(T19, $K$3:$L$26, 2, 0)</f>
        <v>0</v>
      </c>
      <c r="AE19" s="0" t="n">
        <f aca="false">VLOOKUP(U19, $K$3:$L$26, 2, 0)</f>
        <v>0</v>
      </c>
      <c r="AF19" s="0" t="n">
        <f aca="false">VLOOKUP(V19, $K$3:$L$26, 2, 0)</f>
        <v>6</v>
      </c>
      <c r="AG19" s="0" t="n">
        <f aca="false">VLOOKUP(W19, $K$3:$L$26, 2, 0)</f>
        <v>6</v>
      </c>
      <c r="AH19" s="0" t="n">
        <f aca="false">VLOOKUP(X19, $K$3:$L$26, 2, 0)</f>
        <v>6</v>
      </c>
      <c r="AI19" s="0" t="n">
        <f aca="false">VLOOKUP(Y19, $K$3:$L$26, 2, 0)</f>
        <v>3.1</v>
      </c>
      <c r="AK19" s="36" t="n">
        <v>5</v>
      </c>
      <c r="AL19" s="0" t="n">
        <v>0</v>
      </c>
      <c r="AM19" s="0" t="n">
        <v>1</v>
      </c>
      <c r="AN19" s="0" t="n">
        <v>1</v>
      </c>
      <c r="AO19" s="0" t="n">
        <v>1</v>
      </c>
      <c r="AP19" s="0" t="n">
        <v>3</v>
      </c>
      <c r="AQ19" s="0" t="n">
        <v>3</v>
      </c>
      <c r="AR19" s="0" t="n">
        <v>7</v>
      </c>
      <c r="AU19" s="37" t="n">
        <v>5</v>
      </c>
      <c r="AV19" s="38" t="n">
        <f aca="false">VLOOKUP(AL19, $L$3:$M$26, 2, 0)</f>
        <v>0</v>
      </c>
      <c r="AW19" s="38" t="n">
        <f aca="false">VLOOKUP(AM19, $L$3:$M$26, 2, 0)</f>
        <v>0.583333333333333</v>
      </c>
      <c r="AX19" s="38" t="n">
        <f aca="false">VLOOKUP(AN19, $L$3:$M$26, 2, 0)</f>
        <v>0.583333333333333</v>
      </c>
      <c r="AY19" s="38" t="n">
        <f aca="false">VLOOKUP(AO19, $L$3:$M$26, 2, 0)</f>
        <v>0.583333333333333</v>
      </c>
      <c r="AZ19" s="38" t="n">
        <f aca="false">VLOOKUP(AP19, $L$3:$M$26, 2, 0)</f>
        <v>0.333333333333333</v>
      </c>
      <c r="BA19" s="38" t="n">
        <f aca="false">VLOOKUP(AQ19, $L$3:$M$26, 2, 0)</f>
        <v>0.333333333333333</v>
      </c>
      <c r="BB19" s="38" t="n">
        <f aca="false">VLOOKUP(AR19, $L$3:$M$26, 2, 0)</f>
        <v>0.916666666666667</v>
      </c>
    </row>
    <row r="20" customFormat="false" ht="12.8" hidden="false" customHeight="false" outlineLevel="0" collapsed="false">
      <c r="K20" s="0" t="n">
        <v>1.167</v>
      </c>
      <c r="L20" s="0" t="n">
        <v>5.1</v>
      </c>
      <c r="M20" s="0" t="n">
        <v>1.167</v>
      </c>
      <c r="R20" s="9" t="n">
        <f aca="false">R19+1</f>
        <v>17</v>
      </c>
      <c r="S20" s="0" t="n">
        <v>0.416666666666667</v>
      </c>
      <c r="T20" s="0" t="n">
        <v>0</v>
      </c>
      <c r="U20" s="0" t="n">
        <v>0.583333333333333</v>
      </c>
      <c r="V20" s="0" t="n">
        <v>0.166666666666667</v>
      </c>
      <c r="W20" s="0" t="n">
        <v>0.75</v>
      </c>
      <c r="X20" s="0" t="n">
        <v>0.75</v>
      </c>
      <c r="Y20" s="0" t="n">
        <v>1.333</v>
      </c>
      <c r="AB20" s="0" t="n">
        <v>17</v>
      </c>
      <c r="AC20" s="0" t="n">
        <f aca="false">VLOOKUP(S20, $K$3:$L$26, 2, 0)</f>
        <v>10</v>
      </c>
      <c r="AD20" s="0" t="n">
        <f aca="false">VLOOKUP(T20, $K$3:$L$26, 2, 0)</f>
        <v>0</v>
      </c>
      <c r="AE20" s="0" t="n">
        <f aca="false">VLOOKUP(U20, $K$3:$L$26, 2, 0)</f>
        <v>1</v>
      </c>
      <c r="AF20" s="0" t="n">
        <f aca="false">VLOOKUP(V20, $K$3:$L$26, 2, 0)</f>
        <v>5</v>
      </c>
      <c r="AG20" s="0" t="n">
        <f aca="false">VLOOKUP(W20, $K$3:$L$26, 2, 0)</f>
        <v>6</v>
      </c>
      <c r="AH20" s="0" t="n">
        <f aca="false">VLOOKUP(X20, $K$3:$L$26, 2, 0)</f>
        <v>6</v>
      </c>
      <c r="AI20" s="0" t="n">
        <f aca="false">VLOOKUP(Y20, $K$3:$L$26, 2, 0)</f>
        <v>3.1</v>
      </c>
      <c r="AK20" s="36" t="n">
        <v>6</v>
      </c>
      <c r="AL20" s="0" t="n">
        <v>0</v>
      </c>
      <c r="AM20" s="0" t="n">
        <v>1</v>
      </c>
      <c r="AN20" s="0" t="n">
        <v>1</v>
      </c>
      <c r="AO20" s="0" t="n">
        <v>1</v>
      </c>
      <c r="AP20" s="0" t="n">
        <v>3</v>
      </c>
      <c r="AQ20" s="0" t="n">
        <v>3</v>
      </c>
      <c r="AR20" s="0" t="n">
        <v>7</v>
      </c>
      <c r="AU20" s="37" t="n">
        <v>6</v>
      </c>
      <c r="AV20" s="38" t="n">
        <f aca="false">VLOOKUP(AL20, $L$3:$M$26, 2, 0)</f>
        <v>0</v>
      </c>
      <c r="AW20" s="38" t="n">
        <f aca="false">VLOOKUP(AM20, $L$3:$M$26, 2, 0)</f>
        <v>0.583333333333333</v>
      </c>
      <c r="AX20" s="38" t="n">
        <f aca="false">VLOOKUP(AN20, $L$3:$M$26, 2, 0)</f>
        <v>0.583333333333333</v>
      </c>
      <c r="AY20" s="38" t="n">
        <f aca="false">VLOOKUP(AO20, $L$3:$M$26, 2, 0)</f>
        <v>0.583333333333333</v>
      </c>
      <c r="AZ20" s="38" t="n">
        <f aca="false">VLOOKUP(AP20, $L$3:$M$26, 2, 0)</f>
        <v>0.333333333333333</v>
      </c>
      <c r="BA20" s="38" t="n">
        <f aca="false">VLOOKUP(AQ20, $L$3:$M$26, 2, 0)</f>
        <v>0.333333333333333</v>
      </c>
      <c r="BB20" s="38" t="n">
        <f aca="false">VLOOKUP(AR20, $L$3:$M$26, 2, 0)</f>
        <v>0.916666666666667</v>
      </c>
    </row>
    <row r="21" customFormat="false" ht="12.8" hidden="false" customHeight="false" outlineLevel="0" collapsed="false">
      <c r="K21" s="0" t="n">
        <v>1.75</v>
      </c>
      <c r="L21" s="0" t="n">
        <v>6.1</v>
      </c>
      <c r="M21" s="0" t="n">
        <v>1.75</v>
      </c>
      <c r="R21" s="9" t="n">
        <f aca="false">R20+1</f>
        <v>18</v>
      </c>
      <c r="S21" s="0" t="n">
        <v>0.416666666666667</v>
      </c>
      <c r="T21" s="0" t="n">
        <v>0</v>
      </c>
      <c r="U21" s="0" t="n">
        <v>0.583333333333333</v>
      </c>
      <c r="V21" s="0" t="n">
        <v>0.166666666666667</v>
      </c>
      <c r="W21" s="0" t="n">
        <v>0.75</v>
      </c>
      <c r="X21" s="0" t="n">
        <v>0.75</v>
      </c>
      <c r="Y21" s="0" t="n">
        <v>1.333</v>
      </c>
      <c r="AB21" s="0" t="n">
        <v>18</v>
      </c>
      <c r="AC21" s="0" t="n">
        <f aca="false">VLOOKUP(S21, $K$3:$L$26, 2, 0)</f>
        <v>10</v>
      </c>
      <c r="AD21" s="0" t="n">
        <f aca="false">VLOOKUP(T21, $K$3:$L$26, 2, 0)</f>
        <v>0</v>
      </c>
      <c r="AE21" s="0" t="n">
        <f aca="false">VLOOKUP(U21, $K$3:$L$26, 2, 0)</f>
        <v>1</v>
      </c>
      <c r="AF21" s="0" t="n">
        <f aca="false">VLOOKUP(V21, $K$3:$L$26, 2, 0)</f>
        <v>5</v>
      </c>
      <c r="AG21" s="0" t="n">
        <f aca="false">VLOOKUP(W21, $K$3:$L$26, 2, 0)</f>
        <v>6</v>
      </c>
      <c r="AH21" s="0" t="n">
        <f aca="false">VLOOKUP(X21, $K$3:$L$26, 2, 0)</f>
        <v>6</v>
      </c>
      <c r="AI21" s="0" t="n">
        <f aca="false">VLOOKUP(Y21, $K$3:$L$26, 2, 0)</f>
        <v>3.1</v>
      </c>
      <c r="AK21" s="36" t="n">
        <v>7</v>
      </c>
      <c r="AL21" s="0" t="n">
        <v>0</v>
      </c>
      <c r="AM21" s="0" t="n">
        <v>1</v>
      </c>
      <c r="AN21" s="0" t="n">
        <v>3</v>
      </c>
      <c r="AO21" s="0" t="n">
        <v>3</v>
      </c>
      <c r="AP21" s="0" t="n">
        <v>5</v>
      </c>
      <c r="AQ21" s="0" t="n">
        <v>6</v>
      </c>
      <c r="AR21" s="0" t="n">
        <v>7</v>
      </c>
      <c r="AU21" s="37" t="n">
        <v>7</v>
      </c>
      <c r="AV21" s="38" t="n">
        <f aca="false">VLOOKUP(AL21, $L$3:$M$26, 2, 0)</f>
        <v>0</v>
      </c>
      <c r="AW21" s="38" t="n">
        <f aca="false">VLOOKUP(AM21, $L$3:$M$26, 2, 0)</f>
        <v>0.583333333333333</v>
      </c>
      <c r="AX21" s="38" t="n">
        <f aca="false">VLOOKUP(AN21, $L$3:$M$26, 2, 0)</f>
        <v>0.333333333333333</v>
      </c>
      <c r="AY21" s="38" t="n">
        <f aca="false">VLOOKUP(AO21, $L$3:$M$26, 2, 0)</f>
        <v>0.333333333333333</v>
      </c>
      <c r="AZ21" s="38" t="n">
        <f aca="false">VLOOKUP(AP21, $L$3:$M$26, 2, 0)</f>
        <v>0.166666666666667</v>
      </c>
      <c r="BA21" s="38" t="n">
        <f aca="false">VLOOKUP(AQ21, $L$3:$M$26, 2, 0)</f>
        <v>0.75</v>
      </c>
      <c r="BB21" s="38" t="n">
        <f aca="false">VLOOKUP(AR21, $L$3:$M$26, 2, 0)</f>
        <v>0.916666666666667</v>
      </c>
    </row>
    <row r="22" customFormat="false" ht="12.8" hidden="false" customHeight="false" outlineLevel="0" collapsed="false">
      <c r="L22" s="0" t="n">
        <v>7.1</v>
      </c>
      <c r="R22" s="9" t="n">
        <f aca="false">R21+1</f>
        <v>19</v>
      </c>
      <c r="S22" s="0" t="n">
        <v>0.833333333333333</v>
      </c>
      <c r="T22" s="0" t="n">
        <v>0</v>
      </c>
      <c r="U22" s="0" t="n">
        <v>0</v>
      </c>
      <c r="V22" s="0" t="n">
        <v>0.583333333333333</v>
      </c>
      <c r="W22" s="0" t="n">
        <v>0.166666666666667</v>
      </c>
      <c r="X22" s="0" t="n">
        <v>1.75</v>
      </c>
      <c r="Y22" s="0" t="n">
        <v>0.333333333333333</v>
      </c>
      <c r="AB22" s="0" t="n">
        <v>19</v>
      </c>
      <c r="AC22" s="0" t="n">
        <f aca="false">VLOOKUP(S22, $K$3:$L$26, 2, 0)</f>
        <v>4</v>
      </c>
      <c r="AD22" s="0" t="n">
        <f aca="false">VLOOKUP(T22, $K$3:$L$26, 2, 0)</f>
        <v>0</v>
      </c>
      <c r="AE22" s="0" t="n">
        <f aca="false">VLOOKUP(U22, $K$3:$L$26, 2, 0)</f>
        <v>0</v>
      </c>
      <c r="AF22" s="0" t="n">
        <f aca="false">VLOOKUP(V22, $K$3:$L$26, 2, 0)</f>
        <v>1</v>
      </c>
      <c r="AG22" s="0" t="n">
        <f aca="false">VLOOKUP(W22, $K$3:$L$26, 2, 0)</f>
        <v>5</v>
      </c>
      <c r="AH22" s="0" t="n">
        <f aca="false">VLOOKUP(X22, $K$3:$L$26, 2, 0)</f>
        <v>6.1</v>
      </c>
      <c r="AI22" s="0" t="n">
        <f aca="false">VLOOKUP(Y22, $K$3:$L$26, 2, 0)</f>
        <v>3</v>
      </c>
      <c r="AK22" s="36" t="n">
        <v>8</v>
      </c>
      <c r="AL22" s="0" t="n">
        <v>0</v>
      </c>
      <c r="AM22" s="0" t="n">
        <v>1</v>
      </c>
      <c r="AN22" s="0" t="n">
        <v>3</v>
      </c>
      <c r="AO22" s="0" t="n">
        <v>3</v>
      </c>
      <c r="AP22" s="0" t="n">
        <v>5</v>
      </c>
      <c r="AQ22" s="0" t="n">
        <v>6</v>
      </c>
      <c r="AR22" s="0" t="n">
        <v>7</v>
      </c>
      <c r="AU22" s="37" t="n">
        <v>8</v>
      </c>
      <c r="AV22" s="38" t="n">
        <f aca="false">VLOOKUP(AL22, $L$3:$M$26, 2, 0)</f>
        <v>0</v>
      </c>
      <c r="AW22" s="38" t="n">
        <f aca="false">VLOOKUP(AM22, $L$3:$M$26, 2, 0)</f>
        <v>0.583333333333333</v>
      </c>
      <c r="AX22" s="38" t="n">
        <f aca="false">VLOOKUP(AN22, $L$3:$M$26, 2, 0)</f>
        <v>0.333333333333333</v>
      </c>
      <c r="AY22" s="38" t="n">
        <f aca="false">VLOOKUP(AO22, $L$3:$M$26, 2, 0)</f>
        <v>0.333333333333333</v>
      </c>
      <c r="AZ22" s="38" t="n">
        <f aca="false">VLOOKUP(AP22, $L$3:$M$26, 2, 0)</f>
        <v>0.166666666666667</v>
      </c>
      <c r="BA22" s="38" t="n">
        <f aca="false">VLOOKUP(AQ22, $L$3:$M$26, 2, 0)</f>
        <v>0.75</v>
      </c>
      <c r="BB22" s="38" t="n">
        <f aca="false">VLOOKUP(AR22, $L$3:$M$26, 2, 0)</f>
        <v>0.916666666666667</v>
      </c>
    </row>
    <row r="23" customFormat="false" ht="12.8" hidden="false" customHeight="false" outlineLevel="0" collapsed="false">
      <c r="K23" s="0" t="n">
        <v>1.5</v>
      </c>
      <c r="L23" s="0" t="n">
        <v>8.1</v>
      </c>
      <c r="M23" s="0" t="n">
        <v>1.5</v>
      </c>
      <c r="R23" s="9" t="n">
        <f aca="false">R22+1</f>
        <v>20</v>
      </c>
      <c r="S23" s="0" t="n">
        <v>0.833333333333333</v>
      </c>
      <c r="T23" s="0" t="n">
        <v>0</v>
      </c>
      <c r="U23" s="0" t="n">
        <v>0</v>
      </c>
      <c r="V23" s="0" t="n">
        <v>0.583333333333333</v>
      </c>
      <c r="W23" s="0" t="n">
        <v>0.166666666666667</v>
      </c>
      <c r="X23" s="0" t="n">
        <v>1.75</v>
      </c>
      <c r="Y23" s="0" t="n">
        <v>0.333333333333333</v>
      </c>
      <c r="AB23" s="0" t="n">
        <v>20</v>
      </c>
      <c r="AC23" s="0" t="n">
        <f aca="false">VLOOKUP(S23, $K$3:$L$26, 2, 0)</f>
        <v>4</v>
      </c>
      <c r="AD23" s="0" t="n">
        <f aca="false">VLOOKUP(T23, $K$3:$L$26, 2, 0)</f>
        <v>0</v>
      </c>
      <c r="AE23" s="0" t="n">
        <f aca="false">VLOOKUP(U23, $K$3:$L$26, 2, 0)</f>
        <v>0</v>
      </c>
      <c r="AF23" s="0" t="n">
        <f aca="false">VLOOKUP(V23, $K$3:$L$26, 2, 0)</f>
        <v>1</v>
      </c>
      <c r="AG23" s="0" t="n">
        <f aca="false">VLOOKUP(W23, $K$3:$L$26, 2, 0)</f>
        <v>5</v>
      </c>
      <c r="AH23" s="0" t="n">
        <f aca="false">VLOOKUP(X23, $K$3:$L$26, 2, 0)</f>
        <v>6.1</v>
      </c>
      <c r="AI23" s="0" t="n">
        <f aca="false">VLOOKUP(Y23, $K$3:$L$26, 2, 0)</f>
        <v>3</v>
      </c>
      <c r="AK23" s="36" t="n">
        <v>9</v>
      </c>
      <c r="AL23" s="0" t="n">
        <v>0</v>
      </c>
      <c r="AM23" s="0" t="n">
        <v>1</v>
      </c>
      <c r="AN23" s="0" t="n">
        <v>3.1</v>
      </c>
      <c r="AO23" s="0" t="n">
        <v>5</v>
      </c>
      <c r="AP23" s="0" t="n">
        <v>6</v>
      </c>
      <c r="AQ23" s="0" t="n">
        <v>7</v>
      </c>
      <c r="AR23" s="0" t="n">
        <v>10</v>
      </c>
      <c r="AU23" s="37" t="n">
        <v>9</v>
      </c>
      <c r="AV23" s="38" t="n">
        <f aca="false">VLOOKUP(AL23, $L$3:$M$26, 2, 0)</f>
        <v>0</v>
      </c>
      <c r="AW23" s="38" t="n">
        <f aca="false">VLOOKUP(AM23, $L$3:$M$26, 2, 0)</f>
        <v>0.583333333333333</v>
      </c>
      <c r="AX23" s="38" t="n">
        <f aca="false">VLOOKUP(AN23, $L$3:$M$26, 2, 0)</f>
        <v>1.333</v>
      </c>
      <c r="AY23" s="38" t="n">
        <f aca="false">VLOOKUP(AO23, $L$3:$M$26, 2, 0)</f>
        <v>0.166666666666667</v>
      </c>
      <c r="AZ23" s="38" t="n">
        <f aca="false">VLOOKUP(AP23, $L$3:$M$26, 2, 0)</f>
        <v>0.75</v>
      </c>
      <c r="BA23" s="38" t="n">
        <f aca="false">VLOOKUP(AQ23, $L$3:$M$26, 2, 0)</f>
        <v>0.916666666666667</v>
      </c>
      <c r="BB23" s="38" t="n">
        <f aca="false">VLOOKUP(AR23, $L$3:$M$26, 2, 0)</f>
        <v>0.416666666666667</v>
      </c>
    </row>
    <row r="24" customFormat="false" ht="12.8" hidden="false" customHeight="false" outlineLevel="0" collapsed="false">
      <c r="L24" s="0" t="n">
        <v>9.1</v>
      </c>
      <c r="R24" s="9" t="n">
        <f aca="false">R23+1</f>
        <v>21</v>
      </c>
      <c r="S24" s="0" t="n">
        <v>0.833333333333333</v>
      </c>
      <c r="T24" s="0" t="n">
        <v>0.416666666666667</v>
      </c>
      <c r="U24" s="0" t="n">
        <v>0</v>
      </c>
      <c r="V24" s="0" t="n">
        <v>0.166666666666667</v>
      </c>
      <c r="W24" s="0" t="n">
        <v>0.166666666666667</v>
      </c>
      <c r="X24" s="0" t="n">
        <v>1.75</v>
      </c>
      <c r="Y24" s="0" t="n">
        <v>1.333</v>
      </c>
      <c r="AB24" s="0" t="n">
        <v>21</v>
      </c>
      <c r="AC24" s="0" t="n">
        <f aca="false">VLOOKUP(S24, $K$3:$L$26, 2, 0)</f>
        <v>4</v>
      </c>
      <c r="AD24" s="0" t="n">
        <f aca="false">VLOOKUP(T24, $K$3:$L$26, 2, 0)</f>
        <v>10</v>
      </c>
      <c r="AE24" s="0" t="n">
        <f aca="false">VLOOKUP(U24, $K$3:$L$26, 2, 0)</f>
        <v>0</v>
      </c>
      <c r="AF24" s="0" t="n">
        <f aca="false">VLOOKUP(V24, $K$3:$L$26, 2, 0)</f>
        <v>5</v>
      </c>
      <c r="AG24" s="0" t="n">
        <f aca="false">VLOOKUP(W24, $K$3:$L$26, 2, 0)</f>
        <v>5</v>
      </c>
      <c r="AH24" s="0" t="n">
        <f aca="false">VLOOKUP(X24, $K$3:$L$26, 2, 0)</f>
        <v>6.1</v>
      </c>
      <c r="AI24" s="0" t="n">
        <f aca="false">VLOOKUP(Y24, $K$3:$L$26, 2, 0)</f>
        <v>3.1</v>
      </c>
      <c r="AK24" s="36" t="n">
        <v>10</v>
      </c>
      <c r="AL24" s="0" t="n">
        <v>0</v>
      </c>
      <c r="AM24" s="0" t="n">
        <v>1</v>
      </c>
      <c r="AN24" s="0" t="n">
        <v>3.1</v>
      </c>
      <c r="AO24" s="0" t="n">
        <v>5</v>
      </c>
      <c r="AP24" s="0" t="n">
        <v>6</v>
      </c>
      <c r="AQ24" s="0" t="n">
        <v>7</v>
      </c>
      <c r="AR24" s="0" t="n">
        <v>10</v>
      </c>
      <c r="AU24" s="37" t="n">
        <v>10</v>
      </c>
      <c r="AV24" s="38" t="n">
        <f aca="false">VLOOKUP(AL24, $L$3:$M$26, 2, 0)</f>
        <v>0</v>
      </c>
      <c r="AW24" s="38" t="n">
        <f aca="false">VLOOKUP(AM24, $L$3:$M$26, 2, 0)</f>
        <v>0.583333333333333</v>
      </c>
      <c r="AX24" s="38" t="n">
        <f aca="false">VLOOKUP(AN24, $L$3:$M$26, 2, 0)</f>
        <v>1.333</v>
      </c>
      <c r="AY24" s="38" t="n">
        <f aca="false">VLOOKUP(AO24, $L$3:$M$26, 2, 0)</f>
        <v>0.166666666666667</v>
      </c>
      <c r="AZ24" s="38" t="n">
        <f aca="false">VLOOKUP(AP24, $L$3:$M$26, 2, 0)</f>
        <v>0.75</v>
      </c>
      <c r="BA24" s="38" t="n">
        <f aca="false">VLOOKUP(AQ24, $L$3:$M$26, 2, 0)</f>
        <v>0.916666666666667</v>
      </c>
      <c r="BB24" s="38" t="n">
        <f aca="false">VLOOKUP(AR24, $L$3:$M$26, 2, 0)</f>
        <v>0.416666666666667</v>
      </c>
    </row>
    <row r="25" customFormat="false" ht="12.8" hidden="false" customHeight="false" outlineLevel="0" collapsed="false">
      <c r="K25" s="0" t="n">
        <v>1.417</v>
      </c>
      <c r="L25" s="0" t="n">
        <v>10.1</v>
      </c>
      <c r="M25" s="0" t="n">
        <v>1.417</v>
      </c>
      <c r="R25" s="9" t="n">
        <f aca="false">R24+1</f>
        <v>22</v>
      </c>
      <c r="S25" s="0" t="n">
        <v>0.833333333333333</v>
      </c>
      <c r="T25" s="0" t="n">
        <v>0.416666666666667</v>
      </c>
      <c r="U25" s="0" t="n">
        <v>0</v>
      </c>
      <c r="V25" s="0" t="n">
        <v>0.166666666666667</v>
      </c>
      <c r="W25" s="0" t="n">
        <v>0.166666666666667</v>
      </c>
      <c r="X25" s="0" t="n">
        <v>1.75</v>
      </c>
      <c r="Y25" s="0" t="n">
        <v>1.333</v>
      </c>
      <c r="AB25" s="0" t="n">
        <v>22</v>
      </c>
      <c r="AC25" s="0" t="n">
        <f aca="false">VLOOKUP(S25, $K$3:$L$26, 2, 0)</f>
        <v>4</v>
      </c>
      <c r="AD25" s="0" t="n">
        <f aca="false">VLOOKUP(T25, $K$3:$L$26, 2, 0)</f>
        <v>10</v>
      </c>
      <c r="AE25" s="0" t="n">
        <f aca="false">VLOOKUP(U25, $K$3:$L$26, 2, 0)</f>
        <v>0</v>
      </c>
      <c r="AF25" s="0" t="n">
        <f aca="false">VLOOKUP(V25, $K$3:$L$26, 2, 0)</f>
        <v>5</v>
      </c>
      <c r="AG25" s="0" t="n">
        <f aca="false">VLOOKUP(W25, $K$3:$L$26, 2, 0)</f>
        <v>5</v>
      </c>
      <c r="AH25" s="0" t="n">
        <f aca="false">VLOOKUP(X25, $K$3:$L$26, 2, 0)</f>
        <v>6.1</v>
      </c>
      <c r="AI25" s="0" t="n">
        <f aca="false">VLOOKUP(Y25, $K$3:$L$26, 2, 0)</f>
        <v>3.1</v>
      </c>
      <c r="AK25" s="36" t="n">
        <v>11</v>
      </c>
      <c r="AL25" s="0" t="n">
        <v>0</v>
      </c>
      <c r="AM25" s="0" t="n">
        <v>1</v>
      </c>
      <c r="AN25" s="0" t="n">
        <v>1</v>
      </c>
      <c r="AO25" s="0" t="n">
        <v>3.1</v>
      </c>
      <c r="AP25" s="0" t="n">
        <v>6</v>
      </c>
      <c r="AQ25" s="0" t="n">
        <v>7</v>
      </c>
      <c r="AR25" s="0" t="n">
        <v>10</v>
      </c>
      <c r="AU25" s="37" t="n">
        <v>11</v>
      </c>
      <c r="AV25" s="38" t="n">
        <f aca="false">VLOOKUP(AL25, $L$3:$M$26, 2, 0)</f>
        <v>0</v>
      </c>
      <c r="AW25" s="38" t="n">
        <f aca="false">VLOOKUP(AM25, $L$3:$M$26, 2, 0)</f>
        <v>0.583333333333333</v>
      </c>
      <c r="AX25" s="38" t="n">
        <f aca="false">VLOOKUP(AN25, $L$3:$M$26, 2, 0)</f>
        <v>0.583333333333333</v>
      </c>
      <c r="AY25" s="38" t="n">
        <f aca="false">VLOOKUP(AO25, $L$3:$M$26, 2, 0)</f>
        <v>1.333</v>
      </c>
      <c r="AZ25" s="38" t="n">
        <f aca="false">VLOOKUP(AP25, $L$3:$M$26, 2, 0)</f>
        <v>0.75</v>
      </c>
      <c r="BA25" s="38" t="n">
        <f aca="false">VLOOKUP(AQ25, $L$3:$M$26, 2, 0)</f>
        <v>0.916666666666667</v>
      </c>
      <c r="BB25" s="38" t="n">
        <f aca="false">VLOOKUP(AR25, $L$3:$M$26, 2, 0)</f>
        <v>0.416666666666667</v>
      </c>
    </row>
    <row r="26" customFormat="false" ht="12.8" hidden="false" customHeight="false" outlineLevel="0" collapsed="false">
      <c r="L26" s="0" t="n">
        <v>11.1</v>
      </c>
      <c r="R26" s="9" t="n">
        <f aca="false">R25+1</f>
        <v>23</v>
      </c>
      <c r="S26" s="0" t="n">
        <v>0.833333333333333</v>
      </c>
      <c r="T26" s="0" t="n">
        <v>0.416666666666667</v>
      </c>
      <c r="U26" s="0" t="n">
        <v>0</v>
      </c>
      <c r="V26" s="0" t="n">
        <v>0.583333333333333</v>
      </c>
      <c r="W26" s="0" t="n">
        <v>0.166666666666667</v>
      </c>
      <c r="X26" s="0" t="n">
        <v>1.75</v>
      </c>
      <c r="Y26" s="0" t="n">
        <v>1.333</v>
      </c>
      <c r="AB26" s="0" t="n">
        <v>23</v>
      </c>
      <c r="AC26" s="0" t="n">
        <f aca="false">VLOOKUP(S26, $K$3:$L$26, 2, 0)</f>
        <v>4</v>
      </c>
      <c r="AD26" s="0" t="n">
        <f aca="false">VLOOKUP(T26, $K$3:$L$26, 2, 0)</f>
        <v>10</v>
      </c>
      <c r="AE26" s="0" t="n">
        <f aca="false">VLOOKUP(U26, $K$3:$L$26, 2, 0)</f>
        <v>0</v>
      </c>
      <c r="AF26" s="0" t="n">
        <f aca="false">VLOOKUP(V26, $K$3:$L$26, 2, 0)</f>
        <v>1</v>
      </c>
      <c r="AG26" s="0" t="n">
        <f aca="false">VLOOKUP(W26, $K$3:$L$26, 2, 0)</f>
        <v>5</v>
      </c>
      <c r="AH26" s="0" t="n">
        <f aca="false">VLOOKUP(X26, $K$3:$L$26, 2, 0)</f>
        <v>6.1</v>
      </c>
      <c r="AI26" s="0" t="n">
        <f aca="false">VLOOKUP(Y26, $K$3:$L$26, 2, 0)</f>
        <v>3.1</v>
      </c>
      <c r="AK26" s="36" t="n">
        <v>12</v>
      </c>
      <c r="AL26" s="0" t="n">
        <v>0</v>
      </c>
      <c r="AM26" s="0" t="n">
        <v>1</v>
      </c>
      <c r="AN26" s="0" t="n">
        <v>1</v>
      </c>
      <c r="AO26" s="0" t="n">
        <v>3.1</v>
      </c>
      <c r="AP26" s="0" t="n">
        <v>6</v>
      </c>
      <c r="AQ26" s="0" t="n">
        <v>7</v>
      </c>
      <c r="AR26" s="0" t="n">
        <v>10</v>
      </c>
      <c r="AU26" s="37" t="n">
        <v>12</v>
      </c>
      <c r="AV26" s="38" t="n">
        <f aca="false">VLOOKUP(AL26, $L$3:$M$26, 2, 0)</f>
        <v>0</v>
      </c>
      <c r="AW26" s="38" t="n">
        <f aca="false">VLOOKUP(AM26, $L$3:$M$26, 2, 0)</f>
        <v>0.583333333333333</v>
      </c>
      <c r="AX26" s="38" t="n">
        <f aca="false">VLOOKUP(AN26, $L$3:$M$26, 2, 0)</f>
        <v>0.583333333333333</v>
      </c>
      <c r="AY26" s="38" t="n">
        <f aca="false">VLOOKUP(AO26, $L$3:$M$26, 2, 0)</f>
        <v>1.333</v>
      </c>
      <c r="AZ26" s="38" t="n">
        <f aca="false">VLOOKUP(AP26, $L$3:$M$26, 2, 0)</f>
        <v>0.75</v>
      </c>
      <c r="BA26" s="38" t="n">
        <f aca="false">VLOOKUP(AQ26, $L$3:$M$26, 2, 0)</f>
        <v>0.916666666666667</v>
      </c>
      <c r="BB26" s="38" t="n">
        <f aca="false">VLOOKUP(AR26, $L$3:$M$26, 2, 0)</f>
        <v>0.416666666666667</v>
      </c>
    </row>
    <row r="27" customFormat="false" ht="12.8" hidden="false" customHeight="false" outlineLevel="0" collapsed="false">
      <c r="R27" s="9" t="n">
        <f aca="false">R26+1</f>
        <v>24</v>
      </c>
      <c r="S27" s="0" t="n">
        <v>0.833333333333333</v>
      </c>
      <c r="T27" s="0" t="n">
        <v>0.416666666666667</v>
      </c>
      <c r="U27" s="0" t="n">
        <v>0</v>
      </c>
      <c r="V27" s="0" t="n">
        <v>0.583333333333333</v>
      </c>
      <c r="W27" s="0" t="n">
        <v>0.166666666666667</v>
      </c>
      <c r="X27" s="0" t="n">
        <v>1.75</v>
      </c>
      <c r="Y27" s="0" t="n">
        <v>1.333</v>
      </c>
      <c r="AB27" s="0" t="n">
        <v>24</v>
      </c>
      <c r="AC27" s="0" t="n">
        <f aca="false">VLOOKUP(S27, $K$3:$L$26, 2, 0)</f>
        <v>4</v>
      </c>
      <c r="AD27" s="0" t="n">
        <f aca="false">VLOOKUP(T27, $K$3:$L$26, 2, 0)</f>
        <v>10</v>
      </c>
      <c r="AE27" s="0" t="n">
        <f aca="false">VLOOKUP(U27, $K$3:$L$26, 2, 0)</f>
        <v>0</v>
      </c>
      <c r="AF27" s="0" t="n">
        <f aca="false">VLOOKUP(V27, $K$3:$L$26, 2, 0)</f>
        <v>1</v>
      </c>
      <c r="AG27" s="0" t="n">
        <f aca="false">VLOOKUP(W27, $K$3:$L$26, 2, 0)</f>
        <v>5</v>
      </c>
      <c r="AH27" s="0" t="n">
        <f aca="false">VLOOKUP(X27, $K$3:$L$26, 2, 0)</f>
        <v>6.1</v>
      </c>
      <c r="AI27" s="0" t="n">
        <f aca="false">VLOOKUP(Y27, $K$3:$L$26, 2, 0)</f>
        <v>3.1</v>
      </c>
      <c r="AK27" s="36" t="n">
        <v>13</v>
      </c>
      <c r="AL27" s="0" t="n">
        <v>0</v>
      </c>
      <c r="AM27" s="0" t="n">
        <v>1</v>
      </c>
      <c r="AN27" s="0" t="n">
        <v>1</v>
      </c>
      <c r="AO27" s="0" t="n">
        <v>3</v>
      </c>
      <c r="AP27" s="0" t="n">
        <v>5</v>
      </c>
      <c r="AQ27" s="0" t="n">
        <v>6</v>
      </c>
      <c r="AR27" s="0" t="n">
        <v>6</v>
      </c>
      <c r="AU27" s="37" t="n">
        <v>13</v>
      </c>
      <c r="AV27" s="38" t="n">
        <f aca="false">VLOOKUP(AL27, $L$3:$M$26, 2, 0)</f>
        <v>0</v>
      </c>
      <c r="AW27" s="38" t="n">
        <f aca="false">VLOOKUP(AM27, $L$3:$M$26, 2, 0)</f>
        <v>0.583333333333333</v>
      </c>
      <c r="AX27" s="38" t="n">
        <f aca="false">VLOOKUP(AN27, $L$3:$M$26, 2, 0)</f>
        <v>0.583333333333333</v>
      </c>
      <c r="AY27" s="38" t="n">
        <f aca="false">VLOOKUP(AO27, $L$3:$M$26, 2, 0)</f>
        <v>0.333333333333333</v>
      </c>
      <c r="AZ27" s="38" t="n">
        <f aca="false">VLOOKUP(AP27, $L$3:$M$26, 2, 0)</f>
        <v>0.166666666666667</v>
      </c>
      <c r="BA27" s="38" t="n">
        <f aca="false">VLOOKUP(AQ27, $L$3:$M$26, 2, 0)</f>
        <v>0.75</v>
      </c>
      <c r="BB27" s="38" t="n">
        <f aca="false">VLOOKUP(AR27, $L$3:$M$26, 2, 0)</f>
        <v>0.75</v>
      </c>
    </row>
    <row r="28" customFormat="false" ht="12.8" hidden="false" customHeight="false" outlineLevel="0" collapsed="false">
      <c r="R28" s="9" t="n">
        <f aca="false">R27+1</f>
        <v>25</v>
      </c>
      <c r="S28" s="0" t="n">
        <v>0</v>
      </c>
      <c r="T28" s="0" t="n">
        <v>0</v>
      </c>
      <c r="U28" s="0" t="n">
        <v>0.583333333333333</v>
      </c>
      <c r="V28" s="0" t="n">
        <v>0.583333333333333</v>
      </c>
      <c r="W28" s="0" t="n">
        <v>0.166666666666667</v>
      </c>
      <c r="X28" s="0" t="n">
        <v>0.166666666666667</v>
      </c>
      <c r="Y28" s="0" t="n">
        <v>0.75</v>
      </c>
      <c r="AB28" s="0" t="n">
        <v>25</v>
      </c>
      <c r="AC28" s="0" t="n">
        <f aca="false">VLOOKUP(S28, $K$3:$L$26, 2, 0)</f>
        <v>0</v>
      </c>
      <c r="AD28" s="0" t="n">
        <f aca="false">VLOOKUP(T28, $K$3:$L$26, 2, 0)</f>
        <v>0</v>
      </c>
      <c r="AE28" s="0" t="n">
        <f aca="false">VLOOKUP(U28, $K$3:$L$26, 2, 0)</f>
        <v>1</v>
      </c>
      <c r="AF28" s="0" t="n">
        <f aca="false">VLOOKUP(V28, $K$3:$L$26, 2, 0)</f>
        <v>1</v>
      </c>
      <c r="AG28" s="0" t="n">
        <f aca="false">VLOOKUP(W28, $K$3:$L$26, 2, 0)</f>
        <v>5</v>
      </c>
      <c r="AH28" s="0" t="n">
        <f aca="false">VLOOKUP(X28, $K$3:$L$26, 2, 0)</f>
        <v>5</v>
      </c>
      <c r="AI28" s="0" t="n">
        <f aca="false">VLOOKUP(Y28, $K$3:$L$26, 2, 0)</f>
        <v>6</v>
      </c>
      <c r="AK28" s="36" t="n">
        <v>14</v>
      </c>
      <c r="AL28" s="0" t="n">
        <v>0</v>
      </c>
      <c r="AM28" s="0" t="n">
        <v>1</v>
      </c>
      <c r="AN28" s="0" t="n">
        <v>1</v>
      </c>
      <c r="AO28" s="0" t="n">
        <v>3</v>
      </c>
      <c r="AP28" s="0" t="n">
        <v>5</v>
      </c>
      <c r="AQ28" s="0" t="n">
        <v>6</v>
      </c>
      <c r="AR28" s="0" t="n">
        <v>6</v>
      </c>
      <c r="AU28" s="37" t="n">
        <v>14</v>
      </c>
      <c r="AV28" s="38" t="n">
        <f aca="false">VLOOKUP(AL28, $L$3:$M$26, 2, 0)</f>
        <v>0</v>
      </c>
      <c r="AW28" s="38" t="n">
        <f aca="false">VLOOKUP(AM28, $L$3:$M$26, 2, 0)</f>
        <v>0.583333333333333</v>
      </c>
      <c r="AX28" s="38" t="n">
        <f aca="false">VLOOKUP(AN28, $L$3:$M$26, 2, 0)</f>
        <v>0.583333333333333</v>
      </c>
      <c r="AY28" s="38" t="n">
        <f aca="false">VLOOKUP(AO28, $L$3:$M$26, 2, 0)</f>
        <v>0.333333333333333</v>
      </c>
      <c r="AZ28" s="38" t="n">
        <f aca="false">VLOOKUP(AP28, $L$3:$M$26, 2, 0)</f>
        <v>0.166666666666667</v>
      </c>
      <c r="BA28" s="38" t="n">
        <f aca="false">VLOOKUP(AQ28, $L$3:$M$26, 2, 0)</f>
        <v>0.75</v>
      </c>
      <c r="BB28" s="38" t="n">
        <f aca="false">VLOOKUP(AR28, $L$3:$M$26, 2, 0)</f>
        <v>0.75</v>
      </c>
    </row>
    <row r="29" customFormat="false" ht="12.8" hidden="false" customHeight="false" outlineLevel="0" collapsed="false">
      <c r="R29" s="9" t="n">
        <f aca="false">R28+1</f>
        <v>26</v>
      </c>
      <c r="S29" s="0" t="n">
        <v>0</v>
      </c>
      <c r="T29" s="0" t="n">
        <v>0</v>
      </c>
      <c r="U29" s="0" t="n">
        <v>0.583333333333333</v>
      </c>
      <c r="V29" s="0" t="n">
        <v>0.583333333333333</v>
      </c>
      <c r="W29" s="0" t="n">
        <v>0.166666666666667</v>
      </c>
      <c r="X29" s="0" t="n">
        <v>0.166666666666667</v>
      </c>
      <c r="Y29" s="0" t="n">
        <v>0.75</v>
      </c>
      <c r="AB29" s="0" t="n">
        <v>26</v>
      </c>
      <c r="AC29" s="0" t="n">
        <f aca="false">VLOOKUP(S29, $K$3:$L$26, 2, 0)</f>
        <v>0</v>
      </c>
      <c r="AD29" s="0" t="n">
        <f aca="false">VLOOKUP(T29, $K$3:$L$26, 2, 0)</f>
        <v>0</v>
      </c>
      <c r="AE29" s="0" t="n">
        <f aca="false">VLOOKUP(U29, $K$3:$L$26, 2, 0)</f>
        <v>1</v>
      </c>
      <c r="AF29" s="0" t="n">
        <f aca="false">VLOOKUP(V29, $K$3:$L$26, 2, 0)</f>
        <v>1</v>
      </c>
      <c r="AG29" s="0" t="n">
        <f aca="false">VLOOKUP(W29, $K$3:$L$26, 2, 0)</f>
        <v>5</v>
      </c>
      <c r="AH29" s="0" t="n">
        <f aca="false">VLOOKUP(X29, $K$3:$L$26, 2, 0)</f>
        <v>5</v>
      </c>
      <c r="AI29" s="0" t="n">
        <f aca="false">VLOOKUP(Y29, $K$3:$L$26, 2, 0)</f>
        <v>6</v>
      </c>
      <c r="AK29" s="36" t="n">
        <v>15</v>
      </c>
      <c r="AL29" s="0" t="n">
        <v>0</v>
      </c>
      <c r="AM29" s="0" t="n">
        <v>0</v>
      </c>
      <c r="AN29" s="0" t="n">
        <v>3.1</v>
      </c>
      <c r="AO29" s="0" t="n">
        <v>6</v>
      </c>
      <c r="AP29" s="0" t="n">
        <v>6</v>
      </c>
      <c r="AQ29" s="0" t="n">
        <v>6</v>
      </c>
      <c r="AR29" s="0" t="n">
        <v>10</v>
      </c>
      <c r="AU29" s="37" t="n">
        <v>15</v>
      </c>
      <c r="AV29" s="38" t="n">
        <f aca="false">VLOOKUP(AL29, $L$3:$M$26, 2, 0)</f>
        <v>0</v>
      </c>
      <c r="AW29" s="38" t="n">
        <f aca="false">VLOOKUP(AM29, $L$3:$M$26, 2, 0)</f>
        <v>0</v>
      </c>
      <c r="AX29" s="38" t="n">
        <f aca="false">VLOOKUP(AN29, $L$3:$M$26, 2, 0)</f>
        <v>1.333</v>
      </c>
      <c r="AY29" s="38" t="n">
        <f aca="false">VLOOKUP(AO29, $L$3:$M$26, 2, 0)</f>
        <v>0.75</v>
      </c>
      <c r="AZ29" s="38" t="n">
        <f aca="false">VLOOKUP(AP29, $L$3:$M$26, 2, 0)</f>
        <v>0.75</v>
      </c>
      <c r="BA29" s="38" t="n">
        <f aca="false">VLOOKUP(AQ29, $L$3:$M$26, 2, 0)</f>
        <v>0.75</v>
      </c>
      <c r="BB29" s="38" t="n">
        <f aca="false">VLOOKUP(AR29, $L$3:$M$26, 2, 0)</f>
        <v>0.416666666666667</v>
      </c>
    </row>
    <row r="30" customFormat="false" ht="12.8" hidden="false" customHeight="false" outlineLevel="0" collapsed="false">
      <c r="R30" s="9" t="n">
        <f aca="false">R29+1</f>
        <v>27</v>
      </c>
      <c r="S30" s="0" t="n">
        <v>0.416666666666667</v>
      </c>
      <c r="T30" s="0" t="n">
        <v>0</v>
      </c>
      <c r="U30" s="0" t="n">
        <v>0</v>
      </c>
      <c r="V30" s="0" t="n">
        <v>0.583333333333333</v>
      </c>
      <c r="W30" s="0" t="n">
        <v>0.166666666666667</v>
      </c>
      <c r="X30" s="0" t="n">
        <v>0.166666666666667</v>
      </c>
      <c r="Y30" s="0" t="n">
        <v>0.75</v>
      </c>
      <c r="AB30" s="0" t="n">
        <v>27</v>
      </c>
      <c r="AC30" s="0" t="n">
        <f aca="false">VLOOKUP(S30, $K$3:$L$26, 2, 0)</f>
        <v>10</v>
      </c>
      <c r="AD30" s="0" t="n">
        <f aca="false">VLOOKUP(T30, $K$3:$L$26, 2, 0)</f>
        <v>0</v>
      </c>
      <c r="AE30" s="0" t="n">
        <f aca="false">VLOOKUP(U30, $K$3:$L$26, 2, 0)</f>
        <v>0</v>
      </c>
      <c r="AF30" s="0" t="n">
        <f aca="false">VLOOKUP(V30, $K$3:$L$26, 2, 0)</f>
        <v>1</v>
      </c>
      <c r="AG30" s="0" t="n">
        <f aca="false">VLOOKUP(W30, $K$3:$L$26, 2, 0)</f>
        <v>5</v>
      </c>
      <c r="AH30" s="0" t="n">
        <f aca="false">VLOOKUP(X30, $K$3:$L$26, 2, 0)</f>
        <v>5</v>
      </c>
      <c r="AI30" s="0" t="n">
        <f aca="false">VLOOKUP(Y30, $K$3:$L$26, 2, 0)</f>
        <v>6</v>
      </c>
      <c r="AK30" s="36" t="n">
        <v>16</v>
      </c>
      <c r="AL30" s="0" t="n">
        <v>0</v>
      </c>
      <c r="AM30" s="0" t="n">
        <v>0</v>
      </c>
      <c r="AN30" s="0" t="n">
        <v>3.1</v>
      </c>
      <c r="AO30" s="0" t="n">
        <v>6</v>
      </c>
      <c r="AP30" s="0" t="n">
        <v>6</v>
      </c>
      <c r="AQ30" s="0" t="n">
        <v>6</v>
      </c>
      <c r="AR30" s="0" t="n">
        <v>10</v>
      </c>
      <c r="AU30" s="37" t="n">
        <v>16</v>
      </c>
      <c r="AV30" s="38" t="n">
        <f aca="false">VLOOKUP(AL30, $L$3:$M$26, 2, 0)</f>
        <v>0</v>
      </c>
      <c r="AW30" s="38" t="n">
        <f aca="false">VLOOKUP(AM30, $L$3:$M$26, 2, 0)</f>
        <v>0</v>
      </c>
      <c r="AX30" s="38" t="n">
        <f aca="false">VLOOKUP(AN30, $L$3:$M$26, 2, 0)</f>
        <v>1.333</v>
      </c>
      <c r="AY30" s="38" t="n">
        <f aca="false">VLOOKUP(AO30, $L$3:$M$26, 2, 0)</f>
        <v>0.75</v>
      </c>
      <c r="AZ30" s="38" t="n">
        <f aca="false">VLOOKUP(AP30, $L$3:$M$26, 2, 0)</f>
        <v>0.75</v>
      </c>
      <c r="BA30" s="38" t="n">
        <f aca="false">VLOOKUP(AQ30, $L$3:$M$26, 2, 0)</f>
        <v>0.75</v>
      </c>
      <c r="BB30" s="38" t="n">
        <f aca="false">VLOOKUP(AR30, $L$3:$M$26, 2, 0)</f>
        <v>0.416666666666667</v>
      </c>
    </row>
    <row r="31" customFormat="false" ht="12.8" hidden="false" customHeight="false" outlineLevel="0" collapsed="false">
      <c r="R31" s="9" t="n">
        <f aca="false">R30+1</f>
        <v>28</v>
      </c>
      <c r="S31" s="0" t="n">
        <v>0.416666666666667</v>
      </c>
      <c r="T31" s="0" t="n">
        <v>0</v>
      </c>
      <c r="U31" s="0" t="n">
        <v>0</v>
      </c>
      <c r="V31" s="0" t="n">
        <v>0.583333333333333</v>
      </c>
      <c r="W31" s="0" t="n">
        <v>0.166666666666667</v>
      </c>
      <c r="X31" s="0" t="n">
        <v>0.166666666666667</v>
      </c>
      <c r="Y31" s="0" t="n">
        <v>0.75</v>
      </c>
      <c r="AB31" s="0" t="n">
        <v>28</v>
      </c>
      <c r="AC31" s="0" t="n">
        <f aca="false">VLOOKUP(S31, $K$3:$L$26, 2, 0)</f>
        <v>10</v>
      </c>
      <c r="AD31" s="0" t="n">
        <f aca="false">VLOOKUP(T31, $K$3:$L$26, 2, 0)</f>
        <v>0</v>
      </c>
      <c r="AE31" s="0" t="n">
        <f aca="false">VLOOKUP(U31, $K$3:$L$26, 2, 0)</f>
        <v>0</v>
      </c>
      <c r="AF31" s="0" t="n">
        <f aca="false">VLOOKUP(V31, $K$3:$L$26, 2, 0)</f>
        <v>1</v>
      </c>
      <c r="AG31" s="0" t="n">
        <f aca="false">VLOOKUP(W31, $K$3:$L$26, 2, 0)</f>
        <v>5</v>
      </c>
      <c r="AH31" s="0" t="n">
        <f aca="false">VLOOKUP(X31, $K$3:$L$26, 2, 0)</f>
        <v>5</v>
      </c>
      <c r="AI31" s="0" t="n">
        <f aca="false">VLOOKUP(Y31, $K$3:$L$26, 2, 0)</f>
        <v>6</v>
      </c>
      <c r="AK31" s="36" t="n">
        <v>17</v>
      </c>
      <c r="AL31" s="0" t="n">
        <v>0</v>
      </c>
      <c r="AM31" s="0" t="n">
        <v>1</v>
      </c>
      <c r="AN31" s="0" t="n">
        <v>3.1</v>
      </c>
      <c r="AO31" s="0" t="n">
        <v>5</v>
      </c>
      <c r="AP31" s="0" t="n">
        <v>6</v>
      </c>
      <c r="AQ31" s="0" t="n">
        <v>6</v>
      </c>
      <c r="AR31" s="0" t="n">
        <v>10</v>
      </c>
      <c r="AU31" s="37" t="n">
        <v>17</v>
      </c>
      <c r="AV31" s="38" t="n">
        <f aca="false">VLOOKUP(AL31, $L$3:$M$26, 2, 0)</f>
        <v>0</v>
      </c>
      <c r="AW31" s="38" t="n">
        <f aca="false">VLOOKUP(AM31, $L$3:$M$26, 2, 0)</f>
        <v>0.583333333333333</v>
      </c>
      <c r="AX31" s="38" t="n">
        <f aca="false">VLOOKUP(AN31, $L$3:$M$26, 2, 0)</f>
        <v>1.333</v>
      </c>
      <c r="AY31" s="38" t="n">
        <f aca="false">VLOOKUP(AO31, $L$3:$M$26, 2, 0)</f>
        <v>0.166666666666667</v>
      </c>
      <c r="AZ31" s="38" t="n">
        <f aca="false">VLOOKUP(AP31, $L$3:$M$26, 2, 0)</f>
        <v>0.75</v>
      </c>
      <c r="BA31" s="38" t="n">
        <f aca="false">VLOOKUP(AQ31, $L$3:$M$26, 2, 0)</f>
        <v>0.75</v>
      </c>
      <c r="BB31" s="38" t="n">
        <f aca="false">VLOOKUP(AR31, $L$3:$M$26, 2, 0)</f>
        <v>0.416666666666667</v>
      </c>
    </row>
    <row r="32" customFormat="false" ht="12.8" hidden="false" customHeight="false" outlineLevel="0" collapsed="false">
      <c r="R32" s="9" t="n">
        <f aca="false">R31+1</f>
        <v>29</v>
      </c>
      <c r="S32" s="0" t="n">
        <v>0.25</v>
      </c>
      <c r="T32" s="0" t="n">
        <v>0.833333333333333</v>
      </c>
      <c r="U32" s="0" t="n">
        <v>0.416666666666667</v>
      </c>
      <c r="V32" s="0" t="n">
        <v>0</v>
      </c>
      <c r="W32" s="0" t="n">
        <v>0.583333333333333</v>
      </c>
      <c r="X32" s="0" t="n">
        <v>1.167</v>
      </c>
      <c r="Y32" s="0" t="n">
        <v>1.75</v>
      </c>
      <c r="AB32" s="0" t="n">
        <v>29</v>
      </c>
      <c r="AC32" s="0" t="n">
        <f aca="false">VLOOKUP(S32, $K$3:$L$26, 2, 0)</f>
        <v>2</v>
      </c>
      <c r="AD32" s="0" t="n">
        <f aca="false">VLOOKUP(T32, $K$3:$L$26, 2, 0)</f>
        <v>4</v>
      </c>
      <c r="AE32" s="0" t="n">
        <f aca="false">VLOOKUP(U32, $K$3:$L$26, 2, 0)</f>
        <v>10</v>
      </c>
      <c r="AF32" s="0" t="n">
        <f aca="false">VLOOKUP(V32, $K$3:$L$26, 2, 0)</f>
        <v>0</v>
      </c>
      <c r="AG32" s="0" t="n">
        <f aca="false">VLOOKUP(W32, $K$3:$L$26, 2, 0)</f>
        <v>1</v>
      </c>
      <c r="AH32" s="0" t="n">
        <f aca="false">VLOOKUP(X32, $K$3:$L$26, 2, 0)</f>
        <v>5.1</v>
      </c>
      <c r="AI32" s="0" t="n">
        <f aca="false">VLOOKUP(Y32, $K$3:$L$26, 2, 0)</f>
        <v>6.1</v>
      </c>
      <c r="AK32" s="36" t="n">
        <v>18</v>
      </c>
      <c r="AL32" s="0" t="n">
        <v>0</v>
      </c>
      <c r="AM32" s="0" t="n">
        <v>1</v>
      </c>
      <c r="AN32" s="0" t="n">
        <v>3.1</v>
      </c>
      <c r="AO32" s="0" t="n">
        <v>5</v>
      </c>
      <c r="AP32" s="0" t="n">
        <v>6</v>
      </c>
      <c r="AQ32" s="0" t="n">
        <v>6</v>
      </c>
      <c r="AR32" s="0" t="n">
        <v>10</v>
      </c>
      <c r="AU32" s="37" t="n">
        <v>18</v>
      </c>
      <c r="AV32" s="38" t="n">
        <f aca="false">VLOOKUP(AL32, $L$3:$M$26, 2, 0)</f>
        <v>0</v>
      </c>
      <c r="AW32" s="38" t="n">
        <f aca="false">VLOOKUP(AM32, $L$3:$M$26, 2, 0)</f>
        <v>0.583333333333333</v>
      </c>
      <c r="AX32" s="38" t="n">
        <f aca="false">VLOOKUP(AN32, $L$3:$M$26, 2, 0)</f>
        <v>1.333</v>
      </c>
      <c r="AY32" s="38" t="n">
        <f aca="false">VLOOKUP(AO32, $L$3:$M$26, 2, 0)</f>
        <v>0.166666666666667</v>
      </c>
      <c r="AZ32" s="38" t="n">
        <f aca="false">VLOOKUP(AP32, $L$3:$M$26, 2, 0)</f>
        <v>0.75</v>
      </c>
      <c r="BA32" s="38" t="n">
        <f aca="false">VLOOKUP(AQ32, $L$3:$M$26, 2, 0)</f>
        <v>0.75</v>
      </c>
      <c r="BB32" s="38" t="n">
        <f aca="false">VLOOKUP(AR32, $L$3:$M$26, 2, 0)</f>
        <v>0.416666666666667</v>
      </c>
    </row>
    <row r="33" customFormat="false" ht="12.8" hidden="false" customHeight="false" outlineLevel="0" collapsed="false">
      <c r="R33" s="9" t="n">
        <f aca="false">R32+1</f>
        <v>30</v>
      </c>
      <c r="S33" s="0" t="n">
        <v>0.25</v>
      </c>
      <c r="T33" s="0" t="n">
        <v>0.833333333333333</v>
      </c>
      <c r="U33" s="0" t="n">
        <v>0.416666666666667</v>
      </c>
      <c r="V33" s="0" t="n">
        <v>0</v>
      </c>
      <c r="W33" s="0" t="n">
        <v>0.583333333333333</v>
      </c>
      <c r="X33" s="0" t="n">
        <v>1.167</v>
      </c>
      <c r="Y33" s="0" t="n">
        <v>1.75</v>
      </c>
      <c r="AB33" s="0" t="n">
        <v>30</v>
      </c>
      <c r="AC33" s="0" t="n">
        <f aca="false">VLOOKUP(S33, $K$3:$L$26, 2, 0)</f>
        <v>2</v>
      </c>
      <c r="AD33" s="0" t="n">
        <f aca="false">VLOOKUP(T33, $K$3:$L$26, 2, 0)</f>
        <v>4</v>
      </c>
      <c r="AE33" s="0" t="n">
        <f aca="false">VLOOKUP(U33, $K$3:$L$26, 2, 0)</f>
        <v>10</v>
      </c>
      <c r="AF33" s="0" t="n">
        <f aca="false">VLOOKUP(V33, $K$3:$L$26, 2, 0)</f>
        <v>0</v>
      </c>
      <c r="AG33" s="0" t="n">
        <f aca="false">VLOOKUP(W33, $K$3:$L$26, 2, 0)</f>
        <v>1</v>
      </c>
      <c r="AH33" s="0" t="n">
        <f aca="false">VLOOKUP(X33, $K$3:$L$26, 2, 0)</f>
        <v>5.1</v>
      </c>
      <c r="AI33" s="0" t="n">
        <f aca="false">VLOOKUP(Y33, $K$3:$L$26, 2, 0)</f>
        <v>6.1</v>
      </c>
      <c r="AK33" s="36" t="n">
        <v>19</v>
      </c>
      <c r="AL33" s="0" t="n">
        <v>0</v>
      </c>
      <c r="AM33" s="0" t="n">
        <v>0</v>
      </c>
      <c r="AN33" s="0" t="n">
        <v>1</v>
      </c>
      <c r="AO33" s="0" t="n">
        <v>3</v>
      </c>
      <c r="AP33" s="0" t="n">
        <v>4</v>
      </c>
      <c r="AQ33" s="0" t="n">
        <v>5</v>
      </c>
      <c r="AR33" s="0" t="n">
        <v>6.1</v>
      </c>
      <c r="AU33" s="37" t="n">
        <v>19</v>
      </c>
      <c r="AV33" s="38" t="n">
        <f aca="false">VLOOKUP(AL33, $L$3:$M$26, 2, 0)</f>
        <v>0</v>
      </c>
      <c r="AW33" s="38" t="n">
        <f aca="false">VLOOKUP(AM33, $L$3:$M$26, 2, 0)</f>
        <v>0</v>
      </c>
      <c r="AX33" s="38" t="n">
        <f aca="false">VLOOKUP(AN33, $L$3:$M$26, 2, 0)</f>
        <v>0.583333333333333</v>
      </c>
      <c r="AY33" s="38" t="n">
        <f aca="false">VLOOKUP(AO33, $L$3:$M$26, 2, 0)</f>
        <v>0.333333333333333</v>
      </c>
      <c r="AZ33" s="38" t="n">
        <f aca="false">VLOOKUP(AP33, $L$3:$M$26, 2, 0)</f>
        <v>0.833333333333333</v>
      </c>
      <c r="BA33" s="38" t="n">
        <f aca="false">VLOOKUP(AQ33, $L$3:$M$26, 2, 0)</f>
        <v>0.166666666666667</v>
      </c>
      <c r="BB33" s="38" t="n">
        <f aca="false">VLOOKUP(AR33, $L$3:$M$26, 2, 0)</f>
        <v>1.75</v>
      </c>
    </row>
    <row r="34" customFormat="false" ht="12.8" hidden="false" customHeight="false" outlineLevel="0" collapsed="false">
      <c r="R34" s="9" t="n">
        <f aca="false">R33+1</f>
        <v>31</v>
      </c>
      <c r="S34" s="0" t="n">
        <v>0</v>
      </c>
      <c r="T34" s="0" t="n">
        <v>0</v>
      </c>
      <c r="U34" s="0" t="n">
        <v>0.583333333333333</v>
      </c>
      <c r="V34" s="0" t="n">
        <v>0.583333333333333</v>
      </c>
      <c r="W34" s="0" t="n">
        <v>0.583333333333333</v>
      </c>
      <c r="X34" s="0" t="n">
        <v>0.166666666666667</v>
      </c>
      <c r="Y34" s="0" t="n">
        <v>0.166666666666667</v>
      </c>
      <c r="AB34" s="0" t="n">
        <v>31</v>
      </c>
      <c r="AC34" s="0" t="n">
        <f aca="false">VLOOKUP(S34, $K$3:$L$26, 2, 0)</f>
        <v>0</v>
      </c>
      <c r="AD34" s="0" t="n">
        <f aca="false">VLOOKUP(T34, $K$3:$L$26, 2, 0)</f>
        <v>0</v>
      </c>
      <c r="AE34" s="0" t="n">
        <f aca="false">VLOOKUP(U34, $K$3:$L$26, 2, 0)</f>
        <v>1</v>
      </c>
      <c r="AF34" s="0" t="n">
        <f aca="false">VLOOKUP(V34, $K$3:$L$26, 2, 0)</f>
        <v>1</v>
      </c>
      <c r="AG34" s="0" t="n">
        <f aca="false">VLOOKUP(W34, $K$3:$L$26, 2, 0)</f>
        <v>1</v>
      </c>
      <c r="AH34" s="0" t="n">
        <f aca="false">VLOOKUP(X34, $K$3:$L$26, 2, 0)</f>
        <v>5</v>
      </c>
      <c r="AI34" s="0" t="n">
        <f aca="false">VLOOKUP(Y34, $K$3:$L$26, 2, 0)</f>
        <v>5</v>
      </c>
      <c r="AK34" s="36" t="n">
        <v>20</v>
      </c>
      <c r="AL34" s="0" t="n">
        <v>0</v>
      </c>
      <c r="AM34" s="0" t="n">
        <v>0</v>
      </c>
      <c r="AN34" s="0" t="n">
        <v>1</v>
      </c>
      <c r="AO34" s="0" t="n">
        <v>3</v>
      </c>
      <c r="AP34" s="0" t="n">
        <v>4</v>
      </c>
      <c r="AQ34" s="0" t="n">
        <v>5</v>
      </c>
      <c r="AR34" s="0" t="n">
        <v>6.1</v>
      </c>
      <c r="AU34" s="37" t="n">
        <v>20</v>
      </c>
      <c r="AV34" s="38" t="n">
        <f aca="false">VLOOKUP(AL34, $L$3:$M$26, 2, 0)</f>
        <v>0</v>
      </c>
      <c r="AW34" s="38" t="n">
        <f aca="false">VLOOKUP(AM34, $L$3:$M$26, 2, 0)</f>
        <v>0</v>
      </c>
      <c r="AX34" s="38" t="n">
        <f aca="false">VLOOKUP(AN34, $L$3:$M$26, 2, 0)</f>
        <v>0.583333333333333</v>
      </c>
      <c r="AY34" s="38" t="n">
        <f aca="false">VLOOKUP(AO34, $L$3:$M$26, 2, 0)</f>
        <v>0.333333333333333</v>
      </c>
      <c r="AZ34" s="38" t="n">
        <f aca="false">VLOOKUP(AP34, $L$3:$M$26, 2, 0)</f>
        <v>0.833333333333333</v>
      </c>
      <c r="BA34" s="38" t="n">
        <f aca="false">VLOOKUP(AQ34, $L$3:$M$26, 2, 0)</f>
        <v>0.166666666666667</v>
      </c>
      <c r="BB34" s="38" t="n">
        <f aca="false">VLOOKUP(AR34, $L$3:$M$26, 2, 0)</f>
        <v>1.75</v>
      </c>
    </row>
    <row r="35" customFormat="false" ht="12.8" hidden="false" customHeight="false" outlineLevel="0" collapsed="false">
      <c r="R35" s="9" t="n">
        <f aca="false">R34+1</f>
        <v>32</v>
      </c>
      <c r="S35" s="0" t="n">
        <v>0</v>
      </c>
      <c r="T35" s="0" t="n">
        <v>0</v>
      </c>
      <c r="U35" s="0" t="n">
        <v>0.583333333333333</v>
      </c>
      <c r="V35" s="0" t="n">
        <v>0.583333333333333</v>
      </c>
      <c r="W35" s="0" t="n">
        <v>0.583333333333333</v>
      </c>
      <c r="X35" s="0" t="n">
        <v>0.166666666666667</v>
      </c>
      <c r="Y35" s="0" t="n">
        <v>0.166666666666667</v>
      </c>
      <c r="AB35" s="0" t="n">
        <v>32</v>
      </c>
      <c r="AC35" s="0" t="n">
        <f aca="false">VLOOKUP(S35, $K$3:$L$26, 2, 0)</f>
        <v>0</v>
      </c>
      <c r="AD35" s="0" t="n">
        <f aca="false">VLOOKUP(T35, $K$3:$L$26, 2, 0)</f>
        <v>0</v>
      </c>
      <c r="AE35" s="0" t="n">
        <f aca="false">VLOOKUP(U35, $K$3:$L$26, 2, 0)</f>
        <v>1</v>
      </c>
      <c r="AF35" s="0" t="n">
        <f aca="false">VLOOKUP(V35, $K$3:$L$26, 2, 0)</f>
        <v>1</v>
      </c>
      <c r="AG35" s="0" t="n">
        <f aca="false">VLOOKUP(W35, $K$3:$L$26, 2, 0)</f>
        <v>1</v>
      </c>
      <c r="AH35" s="0" t="n">
        <f aca="false">VLOOKUP(X35, $K$3:$L$26, 2, 0)</f>
        <v>5</v>
      </c>
      <c r="AI35" s="0" t="n">
        <f aca="false">VLOOKUP(Y35, $K$3:$L$26, 2, 0)</f>
        <v>5</v>
      </c>
      <c r="AK35" s="36" t="n">
        <v>21</v>
      </c>
      <c r="AL35" s="0" t="n">
        <v>0</v>
      </c>
      <c r="AM35" s="0" t="n">
        <v>3.1</v>
      </c>
      <c r="AN35" s="0" t="n">
        <v>4</v>
      </c>
      <c r="AO35" s="0" t="n">
        <v>5</v>
      </c>
      <c r="AP35" s="0" t="n">
        <v>5</v>
      </c>
      <c r="AQ35" s="0" t="n">
        <v>6.1</v>
      </c>
      <c r="AR35" s="0" t="n">
        <v>10</v>
      </c>
      <c r="AU35" s="37" t="n">
        <v>21</v>
      </c>
      <c r="AV35" s="38" t="n">
        <f aca="false">VLOOKUP(AL35, $L$3:$M$26, 2, 0)</f>
        <v>0</v>
      </c>
      <c r="AW35" s="38" t="n">
        <f aca="false">VLOOKUP(AM35, $L$3:$M$26, 2, 0)</f>
        <v>1.333</v>
      </c>
      <c r="AX35" s="38" t="n">
        <f aca="false">VLOOKUP(AN35, $L$3:$M$26, 2, 0)</f>
        <v>0.833333333333333</v>
      </c>
      <c r="AY35" s="38" t="n">
        <f aca="false">VLOOKUP(AO35, $L$3:$M$26, 2, 0)</f>
        <v>0.166666666666667</v>
      </c>
      <c r="AZ35" s="38" t="n">
        <f aca="false">VLOOKUP(AP35, $L$3:$M$26, 2, 0)</f>
        <v>0.166666666666667</v>
      </c>
      <c r="BA35" s="38" t="n">
        <f aca="false">VLOOKUP(AQ35, $L$3:$M$26, 2, 0)</f>
        <v>1.75</v>
      </c>
      <c r="BB35" s="38" t="n">
        <f aca="false">VLOOKUP(AR35, $L$3:$M$26, 2, 0)</f>
        <v>0.416666666666667</v>
      </c>
    </row>
    <row r="36" customFormat="false" ht="12.8" hidden="false" customHeight="false" outlineLevel="0" collapsed="false">
      <c r="R36" s="9" t="n">
        <f aca="false">R35+1</f>
        <v>33</v>
      </c>
      <c r="S36" s="0" t="n">
        <v>0.416666666666667</v>
      </c>
      <c r="T36" s="0" t="n">
        <v>0</v>
      </c>
      <c r="U36" s="0" t="n">
        <v>0</v>
      </c>
      <c r="V36" s="0" t="n">
        <v>0.583333333333333</v>
      </c>
      <c r="W36" s="0" t="n">
        <v>0.583333333333333</v>
      </c>
      <c r="X36" s="0" t="n">
        <v>0.166666666666667</v>
      </c>
      <c r="Y36" s="0" t="n">
        <v>0.166666666666667</v>
      </c>
      <c r="AB36" s="0" t="n">
        <v>33</v>
      </c>
      <c r="AC36" s="0" t="n">
        <f aca="false">VLOOKUP(S36, $K$3:$L$26, 2, 0)</f>
        <v>10</v>
      </c>
      <c r="AD36" s="0" t="n">
        <f aca="false">VLOOKUP(T36, $K$3:$L$26, 2, 0)</f>
        <v>0</v>
      </c>
      <c r="AE36" s="0" t="n">
        <f aca="false">VLOOKUP(U36, $K$3:$L$26, 2, 0)</f>
        <v>0</v>
      </c>
      <c r="AF36" s="0" t="n">
        <f aca="false">VLOOKUP(V36, $K$3:$L$26, 2, 0)</f>
        <v>1</v>
      </c>
      <c r="AG36" s="0" t="n">
        <f aca="false">VLOOKUP(W36, $K$3:$L$26, 2, 0)</f>
        <v>1</v>
      </c>
      <c r="AH36" s="0" t="n">
        <f aca="false">VLOOKUP(X36, $K$3:$L$26, 2, 0)</f>
        <v>5</v>
      </c>
      <c r="AI36" s="0" t="n">
        <f aca="false">VLOOKUP(Y36, $K$3:$L$26, 2, 0)</f>
        <v>5</v>
      </c>
      <c r="AK36" s="36" t="n">
        <v>22</v>
      </c>
      <c r="AL36" s="0" t="n">
        <v>0</v>
      </c>
      <c r="AM36" s="0" t="n">
        <v>3.1</v>
      </c>
      <c r="AN36" s="0" t="n">
        <v>4</v>
      </c>
      <c r="AO36" s="0" t="n">
        <v>5</v>
      </c>
      <c r="AP36" s="0" t="n">
        <v>5</v>
      </c>
      <c r="AQ36" s="0" t="n">
        <v>6.1</v>
      </c>
      <c r="AR36" s="0" t="n">
        <v>10</v>
      </c>
      <c r="AU36" s="37" t="n">
        <v>22</v>
      </c>
      <c r="AV36" s="38" t="n">
        <f aca="false">VLOOKUP(AL36, $L$3:$M$26, 2, 0)</f>
        <v>0</v>
      </c>
      <c r="AW36" s="38" t="n">
        <f aca="false">VLOOKUP(AM36, $L$3:$M$26, 2, 0)</f>
        <v>1.333</v>
      </c>
      <c r="AX36" s="38" t="n">
        <f aca="false">VLOOKUP(AN36, $L$3:$M$26, 2, 0)</f>
        <v>0.833333333333333</v>
      </c>
      <c r="AY36" s="38" t="n">
        <f aca="false">VLOOKUP(AO36, $L$3:$M$26, 2, 0)</f>
        <v>0.166666666666667</v>
      </c>
      <c r="AZ36" s="38" t="n">
        <f aca="false">VLOOKUP(AP36, $L$3:$M$26, 2, 0)</f>
        <v>0.166666666666667</v>
      </c>
      <c r="BA36" s="38" t="n">
        <f aca="false">VLOOKUP(AQ36, $L$3:$M$26, 2, 0)</f>
        <v>1.75</v>
      </c>
      <c r="BB36" s="38" t="n">
        <f aca="false">VLOOKUP(AR36, $L$3:$M$26, 2, 0)</f>
        <v>0.416666666666667</v>
      </c>
    </row>
    <row r="37" customFormat="false" ht="12.8" hidden="false" customHeight="false" outlineLevel="0" collapsed="false">
      <c r="R37" s="9" t="n">
        <f aca="false">R36+1</f>
        <v>34</v>
      </c>
      <c r="S37" s="0" t="n">
        <v>0.416666666666667</v>
      </c>
      <c r="T37" s="0" t="n">
        <v>0</v>
      </c>
      <c r="U37" s="0" t="n">
        <v>0</v>
      </c>
      <c r="V37" s="0" t="n">
        <v>0.583333333333333</v>
      </c>
      <c r="W37" s="0" t="n">
        <v>0.583333333333333</v>
      </c>
      <c r="X37" s="0" t="n">
        <v>0.166666666666667</v>
      </c>
      <c r="Y37" s="0" t="n">
        <v>0.166666666666667</v>
      </c>
      <c r="AB37" s="0" t="n">
        <v>34</v>
      </c>
      <c r="AC37" s="0" t="n">
        <f aca="false">VLOOKUP(S37, $K$3:$L$26, 2, 0)</f>
        <v>10</v>
      </c>
      <c r="AD37" s="0" t="n">
        <f aca="false">VLOOKUP(T37, $K$3:$L$26, 2, 0)</f>
        <v>0</v>
      </c>
      <c r="AE37" s="0" t="n">
        <f aca="false">VLOOKUP(U37, $K$3:$L$26, 2, 0)</f>
        <v>0</v>
      </c>
      <c r="AF37" s="0" t="n">
        <f aca="false">VLOOKUP(V37, $K$3:$L$26, 2, 0)</f>
        <v>1</v>
      </c>
      <c r="AG37" s="0" t="n">
        <f aca="false">VLOOKUP(W37, $K$3:$L$26, 2, 0)</f>
        <v>1</v>
      </c>
      <c r="AH37" s="0" t="n">
        <f aca="false">VLOOKUP(X37, $K$3:$L$26, 2, 0)</f>
        <v>5</v>
      </c>
      <c r="AI37" s="0" t="n">
        <f aca="false">VLOOKUP(Y37, $K$3:$L$26, 2, 0)</f>
        <v>5</v>
      </c>
      <c r="AK37" s="36" t="n">
        <v>23</v>
      </c>
      <c r="AL37" s="0" t="n">
        <v>0</v>
      </c>
      <c r="AM37" s="0" t="n">
        <v>1</v>
      </c>
      <c r="AN37" s="0" t="n">
        <v>3.1</v>
      </c>
      <c r="AO37" s="0" t="n">
        <v>4</v>
      </c>
      <c r="AP37" s="0" t="n">
        <v>5</v>
      </c>
      <c r="AQ37" s="0" t="n">
        <v>6.1</v>
      </c>
      <c r="AR37" s="0" t="n">
        <v>10</v>
      </c>
      <c r="AU37" s="37" t="n">
        <v>23</v>
      </c>
      <c r="AV37" s="38" t="n">
        <f aca="false">VLOOKUP(AL37, $L$3:$M$26, 2, 0)</f>
        <v>0</v>
      </c>
      <c r="AW37" s="38" t="n">
        <f aca="false">VLOOKUP(AM37, $L$3:$M$26, 2, 0)</f>
        <v>0.583333333333333</v>
      </c>
      <c r="AX37" s="38" t="n">
        <f aca="false">VLOOKUP(AN37, $L$3:$M$26, 2, 0)</f>
        <v>1.333</v>
      </c>
      <c r="AY37" s="38" t="n">
        <f aca="false">VLOOKUP(AO37, $L$3:$M$26, 2, 0)</f>
        <v>0.833333333333333</v>
      </c>
      <c r="AZ37" s="38" t="n">
        <f aca="false">VLOOKUP(AP37, $L$3:$M$26, 2, 0)</f>
        <v>0.166666666666667</v>
      </c>
      <c r="BA37" s="38" t="n">
        <f aca="false">VLOOKUP(AQ37, $L$3:$M$26, 2, 0)</f>
        <v>1.75</v>
      </c>
      <c r="BB37" s="38" t="n">
        <f aca="false">VLOOKUP(AR37, $L$3:$M$26, 2, 0)</f>
        <v>0.416666666666667</v>
      </c>
    </row>
    <row r="38" customFormat="false" ht="12.8" hidden="false" customHeight="false" outlineLevel="0" collapsed="false">
      <c r="R38" s="9" t="n">
        <f aca="false">R37+1</f>
        <v>35</v>
      </c>
      <c r="S38" s="0" t="n">
        <v>0.833333333333333</v>
      </c>
      <c r="T38" s="0" t="n">
        <v>0.416666666666667</v>
      </c>
      <c r="U38" s="0" t="n">
        <v>0.416666666666667</v>
      </c>
      <c r="V38" s="0" t="n">
        <v>0</v>
      </c>
      <c r="W38" s="0" t="n">
        <v>0.583333333333333</v>
      </c>
      <c r="X38" s="0" t="n">
        <v>0.583333333333333</v>
      </c>
      <c r="Y38" s="0" t="n">
        <v>0.166666666666667</v>
      </c>
      <c r="AB38" s="0" t="n">
        <v>35</v>
      </c>
      <c r="AC38" s="0" t="n">
        <f aca="false">VLOOKUP(S38, $K$3:$L$26, 2, 0)</f>
        <v>4</v>
      </c>
      <c r="AD38" s="0" t="n">
        <f aca="false">VLOOKUP(T38, $K$3:$L$26, 2, 0)</f>
        <v>10</v>
      </c>
      <c r="AE38" s="0" t="n">
        <f aca="false">VLOOKUP(U38, $K$3:$L$26, 2, 0)</f>
        <v>10</v>
      </c>
      <c r="AF38" s="0" t="n">
        <f aca="false">VLOOKUP(V38, $K$3:$L$26, 2, 0)</f>
        <v>0</v>
      </c>
      <c r="AG38" s="0" t="n">
        <f aca="false">VLOOKUP(W38, $K$3:$L$26, 2, 0)</f>
        <v>1</v>
      </c>
      <c r="AH38" s="0" t="n">
        <f aca="false">VLOOKUP(X38, $K$3:$L$26, 2, 0)</f>
        <v>1</v>
      </c>
      <c r="AI38" s="0" t="n">
        <f aca="false">VLOOKUP(Y38, $K$3:$L$26, 2, 0)</f>
        <v>5</v>
      </c>
      <c r="AK38" s="36" t="n">
        <v>24</v>
      </c>
      <c r="AL38" s="0" t="n">
        <v>0</v>
      </c>
      <c r="AM38" s="0" t="n">
        <v>1</v>
      </c>
      <c r="AN38" s="0" t="n">
        <v>3.1</v>
      </c>
      <c r="AO38" s="0" t="n">
        <v>4</v>
      </c>
      <c r="AP38" s="0" t="n">
        <v>5</v>
      </c>
      <c r="AQ38" s="0" t="n">
        <v>6.1</v>
      </c>
      <c r="AR38" s="0" t="n">
        <v>10</v>
      </c>
      <c r="AU38" s="37" t="n">
        <v>24</v>
      </c>
      <c r="AV38" s="38" t="n">
        <f aca="false">VLOOKUP(AL38, $L$3:$M$26, 2, 0)</f>
        <v>0</v>
      </c>
      <c r="AW38" s="38" t="n">
        <f aca="false">VLOOKUP(AM38, $L$3:$M$26, 2, 0)</f>
        <v>0.583333333333333</v>
      </c>
      <c r="AX38" s="38" t="n">
        <f aca="false">VLOOKUP(AN38, $L$3:$M$26, 2, 0)</f>
        <v>1.333</v>
      </c>
      <c r="AY38" s="38" t="n">
        <f aca="false">VLOOKUP(AO38, $L$3:$M$26, 2, 0)</f>
        <v>0.833333333333333</v>
      </c>
      <c r="AZ38" s="38" t="n">
        <f aca="false">VLOOKUP(AP38, $L$3:$M$26, 2, 0)</f>
        <v>0.166666666666667</v>
      </c>
      <c r="BA38" s="38" t="n">
        <f aca="false">VLOOKUP(AQ38, $L$3:$M$26, 2, 0)</f>
        <v>1.75</v>
      </c>
      <c r="BB38" s="38" t="n">
        <f aca="false">VLOOKUP(AR38, $L$3:$M$26, 2, 0)</f>
        <v>0.416666666666667</v>
      </c>
    </row>
    <row r="39" customFormat="false" ht="12.8" hidden="false" customHeight="false" outlineLevel="0" collapsed="false">
      <c r="R39" s="9" t="n">
        <f aca="false">R38+1</f>
        <v>36</v>
      </c>
      <c r="S39" s="0" t="n">
        <v>0.833333333333333</v>
      </c>
      <c r="T39" s="0" t="n">
        <v>0.416666666666667</v>
      </c>
      <c r="U39" s="0" t="n">
        <v>0.416666666666667</v>
      </c>
      <c r="V39" s="0" t="n">
        <v>0</v>
      </c>
      <c r="W39" s="0" t="n">
        <v>0.583333333333333</v>
      </c>
      <c r="X39" s="0" t="n">
        <v>0.583333333333333</v>
      </c>
      <c r="Y39" s="0" t="n">
        <v>0.166666666666667</v>
      </c>
      <c r="AB39" s="0" t="n">
        <v>36</v>
      </c>
      <c r="AC39" s="0" t="n">
        <f aca="false">VLOOKUP(S39, $K$3:$L$26, 2, 0)</f>
        <v>4</v>
      </c>
      <c r="AD39" s="0" t="n">
        <f aca="false">VLOOKUP(T39, $K$3:$L$26, 2, 0)</f>
        <v>10</v>
      </c>
      <c r="AE39" s="0" t="n">
        <f aca="false">VLOOKUP(U39, $K$3:$L$26, 2, 0)</f>
        <v>10</v>
      </c>
      <c r="AF39" s="0" t="n">
        <f aca="false">VLOOKUP(V39, $K$3:$L$26, 2, 0)</f>
        <v>0</v>
      </c>
      <c r="AG39" s="0" t="n">
        <f aca="false">VLOOKUP(W39, $K$3:$L$26, 2, 0)</f>
        <v>1</v>
      </c>
      <c r="AH39" s="0" t="n">
        <f aca="false">VLOOKUP(X39, $K$3:$L$26, 2, 0)</f>
        <v>1</v>
      </c>
      <c r="AI39" s="0" t="n">
        <f aca="false">VLOOKUP(Y39, $K$3:$L$26, 2, 0)</f>
        <v>5</v>
      </c>
      <c r="AK39" s="36" t="n">
        <v>25</v>
      </c>
      <c r="AL39" s="0" t="n">
        <v>0</v>
      </c>
      <c r="AM39" s="0" t="n">
        <v>0</v>
      </c>
      <c r="AN39" s="0" t="n">
        <v>1</v>
      </c>
      <c r="AO39" s="0" t="n">
        <v>1</v>
      </c>
      <c r="AP39" s="0" t="n">
        <v>5</v>
      </c>
      <c r="AQ39" s="0" t="n">
        <v>5</v>
      </c>
      <c r="AR39" s="0" t="n">
        <v>6</v>
      </c>
      <c r="AU39" s="37" t="n">
        <v>25</v>
      </c>
      <c r="AV39" s="38" t="n">
        <f aca="false">VLOOKUP(AL39, $L$3:$M$26, 2, 0)</f>
        <v>0</v>
      </c>
      <c r="AW39" s="38" t="n">
        <f aca="false">VLOOKUP(AM39, $L$3:$M$26, 2, 0)</f>
        <v>0</v>
      </c>
      <c r="AX39" s="38" t="n">
        <f aca="false">VLOOKUP(AN39, $L$3:$M$26, 2, 0)</f>
        <v>0.583333333333333</v>
      </c>
      <c r="AY39" s="38" t="n">
        <f aca="false">VLOOKUP(AO39, $L$3:$M$26, 2, 0)</f>
        <v>0.583333333333333</v>
      </c>
      <c r="AZ39" s="38" t="n">
        <f aca="false">VLOOKUP(AP39, $L$3:$M$26, 2, 0)</f>
        <v>0.166666666666667</v>
      </c>
      <c r="BA39" s="38" t="n">
        <f aca="false">VLOOKUP(AQ39, $L$3:$M$26, 2, 0)</f>
        <v>0.166666666666667</v>
      </c>
      <c r="BB39" s="38" t="n">
        <f aca="false">VLOOKUP(AR39, $L$3:$M$26, 2, 0)</f>
        <v>0.75</v>
      </c>
    </row>
    <row r="40" customFormat="false" ht="12.8" hidden="false" customHeight="false" outlineLevel="0" collapsed="false">
      <c r="R40" s="9" t="n">
        <f aca="false">R39+1</f>
        <v>37</v>
      </c>
      <c r="S40" s="0" t="n">
        <v>0.25</v>
      </c>
      <c r="T40" s="0" t="n">
        <v>0.833333333333333</v>
      </c>
      <c r="U40" s="0" t="n">
        <v>0.416666666666667</v>
      </c>
      <c r="V40" s="0" t="n">
        <v>0</v>
      </c>
      <c r="W40" s="0" t="n">
        <v>0.583333333333333</v>
      </c>
      <c r="X40" s="0" t="n">
        <v>0.583333333333333</v>
      </c>
      <c r="Y40" s="0" t="n">
        <v>1.167</v>
      </c>
      <c r="AB40" s="0" t="n">
        <v>37</v>
      </c>
      <c r="AC40" s="0" t="n">
        <f aca="false">VLOOKUP(S40, $K$3:$L$26, 2, 0)</f>
        <v>2</v>
      </c>
      <c r="AD40" s="0" t="n">
        <f aca="false">VLOOKUP(T40, $K$3:$L$26, 2, 0)</f>
        <v>4</v>
      </c>
      <c r="AE40" s="0" t="n">
        <f aca="false">VLOOKUP(U40, $K$3:$L$26, 2, 0)</f>
        <v>10</v>
      </c>
      <c r="AF40" s="0" t="n">
        <f aca="false">VLOOKUP(V40, $K$3:$L$26, 2, 0)</f>
        <v>0</v>
      </c>
      <c r="AG40" s="0" t="n">
        <f aca="false">VLOOKUP(W40, $K$3:$L$26, 2, 0)</f>
        <v>1</v>
      </c>
      <c r="AH40" s="0" t="n">
        <f aca="false">VLOOKUP(X40, $K$3:$L$26, 2, 0)</f>
        <v>1</v>
      </c>
      <c r="AI40" s="0" t="n">
        <f aca="false">VLOOKUP(Y40, $K$3:$L$26, 2, 0)</f>
        <v>5.1</v>
      </c>
      <c r="AK40" s="36" t="n">
        <v>26</v>
      </c>
      <c r="AL40" s="0" t="n">
        <v>0</v>
      </c>
      <c r="AM40" s="0" t="n">
        <v>0</v>
      </c>
      <c r="AN40" s="0" t="n">
        <v>1</v>
      </c>
      <c r="AO40" s="0" t="n">
        <v>1</v>
      </c>
      <c r="AP40" s="0" t="n">
        <v>5</v>
      </c>
      <c r="AQ40" s="0" t="n">
        <v>5</v>
      </c>
      <c r="AR40" s="0" t="n">
        <v>6</v>
      </c>
      <c r="AU40" s="37" t="n">
        <v>26</v>
      </c>
      <c r="AV40" s="38" t="n">
        <f aca="false">VLOOKUP(AL40, $L$3:$M$26, 2, 0)</f>
        <v>0</v>
      </c>
      <c r="AW40" s="38" t="n">
        <f aca="false">VLOOKUP(AM40, $L$3:$M$26, 2, 0)</f>
        <v>0</v>
      </c>
      <c r="AX40" s="38" t="n">
        <f aca="false">VLOOKUP(AN40, $L$3:$M$26, 2, 0)</f>
        <v>0.583333333333333</v>
      </c>
      <c r="AY40" s="38" t="n">
        <f aca="false">VLOOKUP(AO40, $L$3:$M$26, 2, 0)</f>
        <v>0.583333333333333</v>
      </c>
      <c r="AZ40" s="38" t="n">
        <f aca="false">VLOOKUP(AP40, $L$3:$M$26, 2, 0)</f>
        <v>0.166666666666667</v>
      </c>
      <c r="BA40" s="38" t="n">
        <f aca="false">VLOOKUP(AQ40, $L$3:$M$26, 2, 0)</f>
        <v>0.166666666666667</v>
      </c>
      <c r="BB40" s="38" t="n">
        <f aca="false">VLOOKUP(AR40, $L$3:$M$26, 2, 0)</f>
        <v>0.75</v>
      </c>
    </row>
    <row r="41" customFormat="false" ht="12.8" hidden="false" customHeight="false" outlineLevel="0" collapsed="false">
      <c r="R41" s="9" t="n">
        <f aca="false">R40+1</f>
        <v>38</v>
      </c>
      <c r="S41" s="0" t="n">
        <v>0.25</v>
      </c>
      <c r="T41" s="0" t="n">
        <v>0.833333333333333</v>
      </c>
      <c r="U41" s="0" t="n">
        <v>0.416666666666667</v>
      </c>
      <c r="V41" s="0" t="n">
        <v>0</v>
      </c>
      <c r="W41" s="0" t="n">
        <v>0.583333333333333</v>
      </c>
      <c r="X41" s="0" t="n">
        <v>0.583333333333333</v>
      </c>
      <c r="Y41" s="0" t="n">
        <v>1.167</v>
      </c>
      <c r="AB41" s="0" t="n">
        <v>38</v>
      </c>
      <c r="AC41" s="0" t="n">
        <f aca="false">VLOOKUP(S41, $K$3:$L$26, 2, 0)</f>
        <v>2</v>
      </c>
      <c r="AD41" s="0" t="n">
        <f aca="false">VLOOKUP(T41, $K$3:$L$26, 2, 0)</f>
        <v>4</v>
      </c>
      <c r="AE41" s="0" t="n">
        <f aca="false">VLOOKUP(U41, $K$3:$L$26, 2, 0)</f>
        <v>10</v>
      </c>
      <c r="AF41" s="0" t="n">
        <f aca="false">VLOOKUP(V41, $K$3:$L$26, 2, 0)</f>
        <v>0</v>
      </c>
      <c r="AG41" s="0" t="n">
        <f aca="false">VLOOKUP(W41, $K$3:$L$26, 2, 0)</f>
        <v>1</v>
      </c>
      <c r="AH41" s="0" t="n">
        <f aca="false">VLOOKUP(X41, $K$3:$L$26, 2, 0)</f>
        <v>1</v>
      </c>
      <c r="AI41" s="0" t="n">
        <f aca="false">VLOOKUP(Y41, $K$3:$L$26, 2, 0)</f>
        <v>5.1</v>
      </c>
      <c r="AK41" s="36" t="n">
        <v>27</v>
      </c>
      <c r="AL41" s="0" t="n">
        <v>0</v>
      </c>
      <c r="AM41" s="0" t="n">
        <v>0</v>
      </c>
      <c r="AN41" s="0" t="n">
        <v>1</v>
      </c>
      <c r="AO41" s="0" t="n">
        <v>5</v>
      </c>
      <c r="AP41" s="0" t="n">
        <v>5</v>
      </c>
      <c r="AQ41" s="0" t="n">
        <v>6</v>
      </c>
      <c r="AR41" s="0" t="n">
        <v>10</v>
      </c>
      <c r="AU41" s="37" t="n">
        <v>27</v>
      </c>
      <c r="AV41" s="38" t="n">
        <f aca="false">VLOOKUP(AL41, $L$3:$M$26, 2, 0)</f>
        <v>0</v>
      </c>
      <c r="AW41" s="38" t="n">
        <f aca="false">VLOOKUP(AM41, $L$3:$M$26, 2, 0)</f>
        <v>0</v>
      </c>
      <c r="AX41" s="38" t="n">
        <f aca="false">VLOOKUP(AN41, $L$3:$M$26, 2, 0)</f>
        <v>0.583333333333333</v>
      </c>
      <c r="AY41" s="38" t="n">
        <f aca="false">VLOOKUP(AO41, $L$3:$M$26, 2, 0)</f>
        <v>0.166666666666667</v>
      </c>
      <c r="AZ41" s="38" t="n">
        <f aca="false">VLOOKUP(AP41, $L$3:$M$26, 2, 0)</f>
        <v>0.166666666666667</v>
      </c>
      <c r="BA41" s="38" t="n">
        <f aca="false">VLOOKUP(AQ41, $L$3:$M$26, 2, 0)</f>
        <v>0.75</v>
      </c>
      <c r="BB41" s="38" t="n">
        <f aca="false">VLOOKUP(AR41, $L$3:$M$26, 2, 0)</f>
        <v>0.416666666666667</v>
      </c>
    </row>
    <row r="42" customFormat="false" ht="12.8" hidden="false" customHeight="false" outlineLevel="0" collapsed="false">
      <c r="R42" s="9" t="n">
        <f aca="false">R41+1</f>
        <v>39</v>
      </c>
      <c r="S42" s="0" t="n">
        <v>0.666666666666667</v>
      </c>
      <c r="T42" s="0" t="n">
        <v>0.25</v>
      </c>
      <c r="U42" s="0" t="n">
        <v>0.833333333333333</v>
      </c>
      <c r="V42" s="0" t="n">
        <v>0.416666666666667</v>
      </c>
      <c r="W42" s="0" t="n">
        <v>0</v>
      </c>
      <c r="X42" s="0" t="n">
        <v>1.583</v>
      </c>
      <c r="Y42" s="0" t="n">
        <v>1.167</v>
      </c>
      <c r="AB42" s="0" t="n">
        <v>39</v>
      </c>
      <c r="AC42" s="0" t="n">
        <f aca="false">VLOOKUP(S42, $K$3:$L$26, 2, 0)</f>
        <v>9</v>
      </c>
      <c r="AD42" s="0" t="n">
        <f aca="false">VLOOKUP(T42, $K$3:$L$26, 2, 0)</f>
        <v>2</v>
      </c>
      <c r="AE42" s="0" t="n">
        <f aca="false">VLOOKUP(U42, $K$3:$L$26, 2, 0)</f>
        <v>4</v>
      </c>
      <c r="AF42" s="0" t="n">
        <f aca="false">VLOOKUP(V42, $K$3:$L$26, 2, 0)</f>
        <v>10</v>
      </c>
      <c r="AG42" s="0" t="n">
        <f aca="false">VLOOKUP(W42, $K$3:$L$26, 2, 0)</f>
        <v>0</v>
      </c>
      <c r="AH42" s="0" t="n">
        <f aca="false">VLOOKUP(X42, $K$3:$L$26, 2, 0)</f>
        <v>1.1</v>
      </c>
      <c r="AI42" s="0" t="n">
        <f aca="false">VLOOKUP(Y42, $K$3:$L$26, 2, 0)</f>
        <v>5.1</v>
      </c>
      <c r="AK42" s="36" t="n">
        <v>28</v>
      </c>
      <c r="AL42" s="0" t="n">
        <v>0</v>
      </c>
      <c r="AM42" s="0" t="n">
        <v>0</v>
      </c>
      <c r="AN42" s="0" t="n">
        <v>1</v>
      </c>
      <c r="AO42" s="0" t="n">
        <v>5</v>
      </c>
      <c r="AP42" s="0" t="n">
        <v>5</v>
      </c>
      <c r="AQ42" s="0" t="n">
        <v>6</v>
      </c>
      <c r="AR42" s="0" t="n">
        <v>10</v>
      </c>
      <c r="AU42" s="37" t="n">
        <v>28</v>
      </c>
      <c r="AV42" s="38" t="n">
        <f aca="false">VLOOKUP(AL42, $L$3:$M$26, 2, 0)</f>
        <v>0</v>
      </c>
      <c r="AW42" s="38" t="n">
        <f aca="false">VLOOKUP(AM42, $L$3:$M$26, 2, 0)</f>
        <v>0</v>
      </c>
      <c r="AX42" s="38" t="n">
        <f aca="false">VLOOKUP(AN42, $L$3:$M$26, 2, 0)</f>
        <v>0.583333333333333</v>
      </c>
      <c r="AY42" s="38" t="n">
        <f aca="false">VLOOKUP(AO42, $L$3:$M$26, 2, 0)</f>
        <v>0.166666666666667</v>
      </c>
      <c r="AZ42" s="38" t="n">
        <f aca="false">VLOOKUP(AP42, $L$3:$M$26, 2, 0)</f>
        <v>0.166666666666667</v>
      </c>
      <c r="BA42" s="38" t="n">
        <f aca="false">VLOOKUP(AQ42, $L$3:$M$26, 2, 0)</f>
        <v>0.75</v>
      </c>
      <c r="BB42" s="38" t="n">
        <f aca="false">VLOOKUP(AR42, $L$3:$M$26, 2, 0)</f>
        <v>0.416666666666667</v>
      </c>
    </row>
    <row r="43" customFormat="false" ht="12.8" hidden="false" customHeight="false" outlineLevel="0" collapsed="false">
      <c r="R43" s="9" t="n">
        <f aca="false">R42+1</f>
        <v>40</v>
      </c>
      <c r="S43" s="0" t="n">
        <v>0.666666666666667</v>
      </c>
      <c r="T43" s="0" t="n">
        <v>0.25</v>
      </c>
      <c r="U43" s="0" t="n">
        <v>0.833333333333333</v>
      </c>
      <c r="V43" s="0" t="n">
        <v>0.416666666666667</v>
      </c>
      <c r="W43" s="0" t="n">
        <v>0</v>
      </c>
      <c r="X43" s="0" t="n">
        <v>1.583</v>
      </c>
      <c r="Y43" s="0" t="n">
        <v>1.167</v>
      </c>
      <c r="AB43" s="0" t="n">
        <v>40</v>
      </c>
      <c r="AC43" s="0" t="n">
        <f aca="false">VLOOKUP(S43, $K$3:$L$26, 2, 0)</f>
        <v>9</v>
      </c>
      <c r="AD43" s="0" t="n">
        <f aca="false">VLOOKUP(T43, $K$3:$L$26, 2, 0)</f>
        <v>2</v>
      </c>
      <c r="AE43" s="0" t="n">
        <f aca="false">VLOOKUP(U43, $K$3:$L$26, 2, 0)</f>
        <v>4</v>
      </c>
      <c r="AF43" s="0" t="n">
        <f aca="false">VLOOKUP(V43, $K$3:$L$26, 2, 0)</f>
        <v>10</v>
      </c>
      <c r="AG43" s="0" t="n">
        <f aca="false">VLOOKUP(W43, $K$3:$L$26, 2, 0)</f>
        <v>0</v>
      </c>
      <c r="AH43" s="0" t="n">
        <f aca="false">VLOOKUP(X43, $K$3:$L$26, 2, 0)</f>
        <v>1.1</v>
      </c>
      <c r="AI43" s="0" t="n">
        <f aca="false">VLOOKUP(Y43, $K$3:$L$26, 2, 0)</f>
        <v>5.1</v>
      </c>
      <c r="AK43" s="36" t="n">
        <v>29</v>
      </c>
      <c r="AL43" s="0" t="n">
        <v>0</v>
      </c>
      <c r="AM43" s="0" t="n">
        <v>1</v>
      </c>
      <c r="AN43" s="0" t="n">
        <v>2</v>
      </c>
      <c r="AO43" s="0" t="n">
        <v>4</v>
      </c>
      <c r="AP43" s="0" t="n">
        <v>5.1</v>
      </c>
      <c r="AQ43" s="0" t="n">
        <v>6.1</v>
      </c>
      <c r="AR43" s="0" t="n">
        <v>10</v>
      </c>
      <c r="AU43" s="37" t="n">
        <v>29</v>
      </c>
      <c r="AV43" s="38" t="n">
        <f aca="false">VLOOKUP(AL43, $L$3:$M$26, 2, 0)</f>
        <v>0</v>
      </c>
      <c r="AW43" s="38" t="n">
        <f aca="false">VLOOKUP(AM43, $L$3:$M$26, 2, 0)</f>
        <v>0.583333333333333</v>
      </c>
      <c r="AX43" s="38" t="n">
        <f aca="false">VLOOKUP(AN43, $L$3:$M$26, 2, 0)</f>
        <v>0.25</v>
      </c>
      <c r="AY43" s="38" t="n">
        <f aca="false">VLOOKUP(AO43, $L$3:$M$26, 2, 0)</f>
        <v>0.833333333333333</v>
      </c>
      <c r="AZ43" s="38" t="n">
        <f aca="false">VLOOKUP(AP43, $L$3:$M$26, 2, 0)</f>
        <v>1.167</v>
      </c>
      <c r="BA43" s="38" t="n">
        <f aca="false">VLOOKUP(AQ43, $L$3:$M$26, 2, 0)</f>
        <v>1.75</v>
      </c>
      <c r="BB43" s="38" t="n">
        <f aca="false">VLOOKUP(AR43, $L$3:$M$26, 2, 0)</f>
        <v>0.416666666666667</v>
      </c>
    </row>
    <row r="44" customFormat="false" ht="12.8" hidden="false" customHeight="false" outlineLevel="0" collapsed="false">
      <c r="R44" s="9" t="n">
        <f aca="false">R43+1</f>
        <v>41</v>
      </c>
      <c r="S44" s="0" t="n">
        <v>0.666666666666667</v>
      </c>
      <c r="T44" s="0" t="n">
        <v>0.25</v>
      </c>
      <c r="U44" s="0" t="n">
        <v>0.833333333333333</v>
      </c>
      <c r="V44" s="0" t="n">
        <v>0</v>
      </c>
      <c r="W44" s="0" t="n">
        <v>0</v>
      </c>
      <c r="X44" s="0" t="n">
        <v>1.583</v>
      </c>
      <c r="Y44" s="0" t="n">
        <v>1.167</v>
      </c>
      <c r="AB44" s="0" t="n">
        <v>41</v>
      </c>
      <c r="AC44" s="0" t="n">
        <f aca="false">VLOOKUP(S44, $K$3:$L$26, 2, 0)</f>
        <v>9</v>
      </c>
      <c r="AD44" s="0" t="n">
        <f aca="false">VLOOKUP(T44, $K$3:$L$26, 2, 0)</f>
        <v>2</v>
      </c>
      <c r="AE44" s="0" t="n">
        <f aca="false">VLOOKUP(U44, $K$3:$L$26, 2, 0)</f>
        <v>4</v>
      </c>
      <c r="AF44" s="0" t="n">
        <f aca="false">VLOOKUP(V44, $K$3:$L$26, 2, 0)</f>
        <v>0</v>
      </c>
      <c r="AG44" s="0" t="n">
        <f aca="false">VLOOKUP(W44, $K$3:$L$26, 2, 0)</f>
        <v>0</v>
      </c>
      <c r="AH44" s="0" t="n">
        <f aca="false">VLOOKUP(X44, $K$3:$L$26, 2, 0)</f>
        <v>1.1</v>
      </c>
      <c r="AI44" s="0" t="n">
        <f aca="false">VLOOKUP(Y44, $K$3:$L$26, 2, 0)</f>
        <v>5.1</v>
      </c>
      <c r="AK44" s="36" t="n">
        <v>30</v>
      </c>
      <c r="AL44" s="0" t="n">
        <v>0</v>
      </c>
      <c r="AM44" s="0" t="n">
        <v>1</v>
      </c>
      <c r="AN44" s="0" t="n">
        <v>2</v>
      </c>
      <c r="AO44" s="0" t="n">
        <v>4</v>
      </c>
      <c r="AP44" s="0" t="n">
        <v>5.1</v>
      </c>
      <c r="AQ44" s="0" t="n">
        <v>6.1</v>
      </c>
      <c r="AR44" s="0" t="n">
        <v>10</v>
      </c>
      <c r="AU44" s="37" t="n">
        <v>30</v>
      </c>
      <c r="AV44" s="38" t="n">
        <f aca="false">VLOOKUP(AL44, $L$3:$M$26, 2, 0)</f>
        <v>0</v>
      </c>
      <c r="AW44" s="38" t="n">
        <f aca="false">VLOOKUP(AM44, $L$3:$M$26, 2, 0)</f>
        <v>0.583333333333333</v>
      </c>
      <c r="AX44" s="38" t="n">
        <f aca="false">VLOOKUP(AN44, $L$3:$M$26, 2, 0)</f>
        <v>0.25</v>
      </c>
      <c r="AY44" s="38" t="n">
        <f aca="false">VLOOKUP(AO44, $L$3:$M$26, 2, 0)</f>
        <v>0.833333333333333</v>
      </c>
      <c r="AZ44" s="38" t="n">
        <f aca="false">VLOOKUP(AP44, $L$3:$M$26, 2, 0)</f>
        <v>1.167</v>
      </c>
      <c r="BA44" s="38" t="n">
        <f aca="false">VLOOKUP(AQ44, $L$3:$M$26, 2, 0)</f>
        <v>1.75</v>
      </c>
      <c r="BB44" s="38" t="n">
        <f aca="false">VLOOKUP(AR44, $L$3:$M$26, 2, 0)</f>
        <v>0.416666666666667</v>
      </c>
    </row>
    <row r="45" customFormat="false" ht="12.8" hidden="false" customHeight="false" outlineLevel="0" collapsed="false">
      <c r="R45" s="9" t="n">
        <f aca="false">R44+1</f>
        <v>42</v>
      </c>
      <c r="S45" s="0" t="n">
        <v>0.666666666666667</v>
      </c>
      <c r="T45" s="0" t="n">
        <v>0.25</v>
      </c>
      <c r="U45" s="0" t="n">
        <v>0.833333333333333</v>
      </c>
      <c r="V45" s="0" t="n">
        <v>0</v>
      </c>
      <c r="W45" s="0" t="n">
        <v>0</v>
      </c>
      <c r="X45" s="0" t="n">
        <v>1.583</v>
      </c>
      <c r="Y45" s="0" t="n">
        <v>1.167</v>
      </c>
      <c r="AB45" s="0" t="n">
        <v>42</v>
      </c>
      <c r="AC45" s="0" t="n">
        <f aca="false">VLOOKUP(S45, $K$3:$L$26, 2, 0)</f>
        <v>9</v>
      </c>
      <c r="AD45" s="0" t="n">
        <f aca="false">VLOOKUP(T45, $K$3:$L$26, 2, 0)</f>
        <v>2</v>
      </c>
      <c r="AE45" s="0" t="n">
        <f aca="false">VLOOKUP(U45, $K$3:$L$26, 2, 0)</f>
        <v>4</v>
      </c>
      <c r="AF45" s="0" t="n">
        <f aca="false">VLOOKUP(V45, $K$3:$L$26, 2, 0)</f>
        <v>0</v>
      </c>
      <c r="AG45" s="0" t="n">
        <f aca="false">VLOOKUP(W45, $K$3:$L$26, 2, 0)</f>
        <v>0</v>
      </c>
      <c r="AH45" s="0" t="n">
        <f aca="false">VLOOKUP(X45, $K$3:$L$26, 2, 0)</f>
        <v>1.1</v>
      </c>
      <c r="AI45" s="0" t="n">
        <f aca="false">VLOOKUP(Y45, $K$3:$L$26, 2, 0)</f>
        <v>5.1</v>
      </c>
      <c r="AK45" s="36" t="n">
        <v>31</v>
      </c>
      <c r="AL45" s="0" t="n">
        <v>0</v>
      </c>
      <c r="AM45" s="0" t="n">
        <v>0</v>
      </c>
      <c r="AN45" s="0" t="n">
        <v>1</v>
      </c>
      <c r="AO45" s="0" t="n">
        <v>1</v>
      </c>
      <c r="AP45" s="0" t="n">
        <v>1</v>
      </c>
      <c r="AQ45" s="0" t="n">
        <v>5</v>
      </c>
      <c r="AR45" s="0" t="n">
        <v>5</v>
      </c>
      <c r="AU45" s="37" t="n">
        <v>31</v>
      </c>
      <c r="AV45" s="38" t="n">
        <f aca="false">VLOOKUP(AL45, $L$3:$M$26, 2, 0)</f>
        <v>0</v>
      </c>
      <c r="AW45" s="38" t="n">
        <f aca="false">VLOOKUP(AM45, $L$3:$M$26, 2, 0)</f>
        <v>0</v>
      </c>
      <c r="AX45" s="38" t="n">
        <f aca="false">VLOOKUP(AN45, $L$3:$M$26, 2, 0)</f>
        <v>0.583333333333333</v>
      </c>
      <c r="AY45" s="38" t="n">
        <f aca="false">VLOOKUP(AO45, $L$3:$M$26, 2, 0)</f>
        <v>0.583333333333333</v>
      </c>
      <c r="AZ45" s="38" t="n">
        <f aca="false">VLOOKUP(AP45, $L$3:$M$26, 2, 0)</f>
        <v>0.583333333333333</v>
      </c>
      <c r="BA45" s="38" t="n">
        <f aca="false">VLOOKUP(AQ45, $L$3:$M$26, 2, 0)</f>
        <v>0.166666666666667</v>
      </c>
      <c r="BB45" s="38" t="n">
        <f aca="false">VLOOKUP(AR45, $L$3:$M$26, 2, 0)</f>
        <v>0.166666666666667</v>
      </c>
    </row>
    <row r="46" customFormat="false" ht="12.8" hidden="false" customHeight="false" outlineLevel="0" collapsed="false">
      <c r="R46" s="9" t="n">
        <f aca="false">R45+1</f>
        <v>43</v>
      </c>
      <c r="S46" s="0" t="n">
        <v>0</v>
      </c>
      <c r="T46" s="0" t="n">
        <v>0</v>
      </c>
      <c r="U46" s="0" t="n">
        <v>0</v>
      </c>
      <c r="V46" s="0" t="n">
        <v>0.583333333333333</v>
      </c>
      <c r="W46" s="0" t="n">
        <v>0.583333333333333</v>
      </c>
      <c r="X46" s="0" t="n">
        <v>0.583333333333333</v>
      </c>
      <c r="Y46" s="0" t="n">
        <v>0.583333333333333</v>
      </c>
      <c r="AB46" s="0" t="n">
        <v>43</v>
      </c>
      <c r="AC46" s="0" t="n">
        <f aca="false">VLOOKUP(S46, $K$3:$L$26, 2, 0)</f>
        <v>0</v>
      </c>
      <c r="AD46" s="0" t="n">
        <f aca="false">VLOOKUP(T46, $K$3:$L$26, 2, 0)</f>
        <v>0</v>
      </c>
      <c r="AE46" s="0" t="n">
        <f aca="false">VLOOKUP(U46, $K$3:$L$26, 2, 0)</f>
        <v>0</v>
      </c>
      <c r="AF46" s="0" t="n">
        <f aca="false">VLOOKUP(V46, $K$3:$L$26, 2, 0)</f>
        <v>1</v>
      </c>
      <c r="AG46" s="0" t="n">
        <f aca="false">VLOOKUP(W46, $K$3:$L$26, 2, 0)</f>
        <v>1</v>
      </c>
      <c r="AH46" s="0" t="n">
        <f aca="false">VLOOKUP(X46, $K$3:$L$26, 2, 0)</f>
        <v>1</v>
      </c>
      <c r="AI46" s="0" t="n">
        <f aca="false">VLOOKUP(Y46, $K$3:$L$26, 2, 0)</f>
        <v>1</v>
      </c>
      <c r="AK46" s="36" t="n">
        <v>32</v>
      </c>
      <c r="AL46" s="0" t="n">
        <v>0</v>
      </c>
      <c r="AM46" s="0" t="n">
        <v>0</v>
      </c>
      <c r="AN46" s="0" t="n">
        <v>1</v>
      </c>
      <c r="AO46" s="0" t="n">
        <v>1</v>
      </c>
      <c r="AP46" s="0" t="n">
        <v>1</v>
      </c>
      <c r="AQ46" s="0" t="n">
        <v>5</v>
      </c>
      <c r="AR46" s="0" t="n">
        <v>5</v>
      </c>
      <c r="AU46" s="37" t="n">
        <v>32</v>
      </c>
      <c r="AV46" s="38" t="n">
        <f aca="false">VLOOKUP(AL46, $L$3:$M$26, 2, 0)</f>
        <v>0</v>
      </c>
      <c r="AW46" s="38" t="n">
        <f aca="false">VLOOKUP(AM46, $L$3:$M$26, 2, 0)</f>
        <v>0</v>
      </c>
      <c r="AX46" s="38" t="n">
        <f aca="false">VLOOKUP(AN46, $L$3:$M$26, 2, 0)</f>
        <v>0.583333333333333</v>
      </c>
      <c r="AY46" s="38" t="n">
        <f aca="false">VLOOKUP(AO46, $L$3:$M$26, 2, 0)</f>
        <v>0.583333333333333</v>
      </c>
      <c r="AZ46" s="38" t="n">
        <f aca="false">VLOOKUP(AP46, $L$3:$M$26, 2, 0)</f>
        <v>0.583333333333333</v>
      </c>
      <c r="BA46" s="38" t="n">
        <f aca="false">VLOOKUP(AQ46, $L$3:$M$26, 2, 0)</f>
        <v>0.166666666666667</v>
      </c>
      <c r="BB46" s="38" t="n">
        <f aca="false">VLOOKUP(AR46, $L$3:$M$26, 2, 0)</f>
        <v>0.166666666666667</v>
      </c>
    </row>
    <row r="47" customFormat="false" ht="12.8" hidden="false" customHeight="false" outlineLevel="0" collapsed="false">
      <c r="R47" s="9" t="n">
        <f aca="false">R46+1</f>
        <v>44</v>
      </c>
      <c r="S47" s="0" t="n">
        <v>0</v>
      </c>
      <c r="T47" s="0" t="n">
        <v>0</v>
      </c>
      <c r="U47" s="0" t="n">
        <v>0</v>
      </c>
      <c r="V47" s="0" t="n">
        <v>0.583333333333333</v>
      </c>
      <c r="W47" s="0" t="n">
        <v>0.583333333333333</v>
      </c>
      <c r="X47" s="0" t="n">
        <v>0.583333333333333</v>
      </c>
      <c r="Y47" s="0" t="n">
        <v>0.583333333333333</v>
      </c>
      <c r="AB47" s="0" t="n">
        <v>44</v>
      </c>
      <c r="AC47" s="0" t="n">
        <f aca="false">VLOOKUP(S47, $K$3:$L$26, 2, 0)</f>
        <v>0</v>
      </c>
      <c r="AD47" s="0" t="n">
        <f aca="false">VLOOKUP(T47, $K$3:$L$26, 2, 0)</f>
        <v>0</v>
      </c>
      <c r="AE47" s="0" t="n">
        <f aca="false">VLOOKUP(U47, $K$3:$L$26, 2, 0)</f>
        <v>0</v>
      </c>
      <c r="AF47" s="0" t="n">
        <f aca="false">VLOOKUP(V47, $K$3:$L$26, 2, 0)</f>
        <v>1</v>
      </c>
      <c r="AG47" s="0" t="n">
        <f aca="false">VLOOKUP(W47, $K$3:$L$26, 2, 0)</f>
        <v>1</v>
      </c>
      <c r="AH47" s="0" t="n">
        <f aca="false">VLOOKUP(X47, $K$3:$L$26, 2, 0)</f>
        <v>1</v>
      </c>
      <c r="AI47" s="0" t="n">
        <f aca="false">VLOOKUP(Y47, $K$3:$L$26, 2, 0)</f>
        <v>1</v>
      </c>
      <c r="AK47" s="36" t="n">
        <v>33</v>
      </c>
      <c r="AL47" s="0" t="n">
        <v>0</v>
      </c>
      <c r="AM47" s="0" t="n">
        <v>0</v>
      </c>
      <c r="AN47" s="0" t="n">
        <v>1</v>
      </c>
      <c r="AO47" s="0" t="n">
        <v>1</v>
      </c>
      <c r="AP47" s="0" t="n">
        <v>5</v>
      </c>
      <c r="AQ47" s="0" t="n">
        <v>5</v>
      </c>
      <c r="AR47" s="0" t="n">
        <v>10</v>
      </c>
      <c r="AU47" s="37" t="n">
        <v>33</v>
      </c>
      <c r="AV47" s="38" t="n">
        <f aca="false">VLOOKUP(AL47, $L$3:$M$26, 2, 0)</f>
        <v>0</v>
      </c>
      <c r="AW47" s="38" t="n">
        <f aca="false">VLOOKUP(AM47, $L$3:$M$26, 2, 0)</f>
        <v>0</v>
      </c>
      <c r="AX47" s="38" t="n">
        <f aca="false">VLOOKUP(AN47, $L$3:$M$26, 2, 0)</f>
        <v>0.583333333333333</v>
      </c>
      <c r="AY47" s="38" t="n">
        <f aca="false">VLOOKUP(AO47, $L$3:$M$26, 2, 0)</f>
        <v>0.583333333333333</v>
      </c>
      <c r="AZ47" s="38" t="n">
        <f aca="false">VLOOKUP(AP47, $L$3:$M$26, 2, 0)</f>
        <v>0.166666666666667</v>
      </c>
      <c r="BA47" s="38" t="n">
        <f aca="false">VLOOKUP(AQ47, $L$3:$M$26, 2, 0)</f>
        <v>0.166666666666667</v>
      </c>
      <c r="BB47" s="38" t="n">
        <f aca="false">VLOOKUP(AR47, $L$3:$M$26, 2, 0)</f>
        <v>0.416666666666667</v>
      </c>
    </row>
    <row r="48" customFormat="false" ht="12.8" hidden="false" customHeight="false" outlineLevel="0" collapsed="false">
      <c r="R48" s="9" t="n">
        <f aca="false">R47+1</f>
        <v>45</v>
      </c>
      <c r="S48" s="0" t="n">
        <v>0.416666666666667</v>
      </c>
      <c r="T48" s="0" t="n">
        <v>0.416666666666667</v>
      </c>
      <c r="U48" s="0" t="n">
        <v>0</v>
      </c>
      <c r="V48" s="0" t="n">
        <v>0</v>
      </c>
      <c r="W48" s="0" t="n">
        <v>0</v>
      </c>
      <c r="X48" s="0" t="n">
        <v>0.583333333333333</v>
      </c>
      <c r="Y48" s="0" t="n">
        <v>0.583333333333333</v>
      </c>
      <c r="AB48" s="0" t="n">
        <v>45</v>
      </c>
      <c r="AC48" s="0" t="n">
        <f aca="false">VLOOKUP(S48, $K$3:$L$26, 2, 0)</f>
        <v>10</v>
      </c>
      <c r="AD48" s="0" t="n">
        <f aca="false">VLOOKUP(T48, $K$3:$L$26, 2, 0)</f>
        <v>10</v>
      </c>
      <c r="AE48" s="0" t="n">
        <f aca="false">VLOOKUP(U48, $K$3:$L$26, 2, 0)</f>
        <v>0</v>
      </c>
      <c r="AF48" s="0" t="n">
        <f aca="false">VLOOKUP(V48, $K$3:$L$26, 2, 0)</f>
        <v>0</v>
      </c>
      <c r="AG48" s="0" t="n">
        <f aca="false">VLOOKUP(W48, $K$3:$L$26, 2, 0)</f>
        <v>0</v>
      </c>
      <c r="AH48" s="0" t="n">
        <f aca="false">VLOOKUP(X48, $K$3:$L$26, 2, 0)</f>
        <v>1</v>
      </c>
      <c r="AI48" s="0" t="n">
        <f aca="false">VLOOKUP(Y48, $K$3:$L$26, 2, 0)</f>
        <v>1</v>
      </c>
      <c r="AK48" s="36" t="n">
        <v>34</v>
      </c>
      <c r="AL48" s="0" t="n">
        <v>0</v>
      </c>
      <c r="AM48" s="0" t="n">
        <v>0</v>
      </c>
      <c r="AN48" s="0" t="n">
        <v>1</v>
      </c>
      <c r="AO48" s="0" t="n">
        <v>1</v>
      </c>
      <c r="AP48" s="0" t="n">
        <v>5</v>
      </c>
      <c r="AQ48" s="0" t="n">
        <v>5</v>
      </c>
      <c r="AR48" s="0" t="n">
        <v>10</v>
      </c>
      <c r="AU48" s="37" t="n">
        <v>34</v>
      </c>
      <c r="AV48" s="38" t="n">
        <f aca="false">VLOOKUP(AL48, $L$3:$M$26, 2, 0)</f>
        <v>0</v>
      </c>
      <c r="AW48" s="38" t="n">
        <f aca="false">VLOOKUP(AM48, $L$3:$M$26, 2, 0)</f>
        <v>0</v>
      </c>
      <c r="AX48" s="38" t="n">
        <f aca="false">VLOOKUP(AN48, $L$3:$M$26, 2, 0)</f>
        <v>0.583333333333333</v>
      </c>
      <c r="AY48" s="38" t="n">
        <f aca="false">VLOOKUP(AO48, $L$3:$M$26, 2, 0)</f>
        <v>0.583333333333333</v>
      </c>
      <c r="AZ48" s="38" t="n">
        <f aca="false">VLOOKUP(AP48, $L$3:$M$26, 2, 0)</f>
        <v>0.166666666666667</v>
      </c>
      <c r="BA48" s="38" t="n">
        <f aca="false">VLOOKUP(AQ48, $L$3:$M$26, 2, 0)</f>
        <v>0.166666666666667</v>
      </c>
      <c r="BB48" s="38" t="n">
        <f aca="false">VLOOKUP(AR48, $L$3:$M$26, 2, 0)</f>
        <v>0.416666666666667</v>
      </c>
    </row>
    <row r="49" customFormat="false" ht="12.8" hidden="false" customHeight="false" outlineLevel="0" collapsed="false">
      <c r="R49" s="9" t="n">
        <f aca="false">R48+1</f>
        <v>46</v>
      </c>
      <c r="S49" s="0" t="n">
        <v>0.416666666666667</v>
      </c>
      <c r="T49" s="0" t="n">
        <v>0.416666666666667</v>
      </c>
      <c r="U49" s="0" t="n">
        <v>0</v>
      </c>
      <c r="V49" s="0" t="n">
        <v>0</v>
      </c>
      <c r="W49" s="0" t="n">
        <v>0</v>
      </c>
      <c r="X49" s="0" t="n">
        <v>0.583333333333333</v>
      </c>
      <c r="Y49" s="0" t="n">
        <v>0.583333333333333</v>
      </c>
      <c r="AB49" s="0" t="n">
        <v>46</v>
      </c>
      <c r="AC49" s="0" t="n">
        <f aca="false">VLOOKUP(S49, $K$3:$L$26, 2, 0)</f>
        <v>10</v>
      </c>
      <c r="AD49" s="0" t="n">
        <f aca="false">VLOOKUP(T49, $K$3:$L$26, 2, 0)</f>
        <v>10</v>
      </c>
      <c r="AE49" s="0" t="n">
        <f aca="false">VLOOKUP(U49, $K$3:$L$26, 2, 0)</f>
        <v>0</v>
      </c>
      <c r="AF49" s="0" t="n">
        <f aca="false">VLOOKUP(V49, $K$3:$L$26, 2, 0)</f>
        <v>0</v>
      </c>
      <c r="AG49" s="0" t="n">
        <f aca="false">VLOOKUP(W49, $K$3:$L$26, 2, 0)</f>
        <v>0</v>
      </c>
      <c r="AH49" s="0" t="n">
        <f aca="false">VLOOKUP(X49, $K$3:$L$26, 2, 0)</f>
        <v>1</v>
      </c>
      <c r="AI49" s="0" t="n">
        <f aca="false">VLOOKUP(Y49, $K$3:$L$26, 2, 0)</f>
        <v>1</v>
      </c>
      <c r="AK49" s="36" t="n">
        <v>35</v>
      </c>
      <c r="AL49" s="0" t="n">
        <v>0</v>
      </c>
      <c r="AM49" s="0" t="n">
        <v>1</v>
      </c>
      <c r="AN49" s="0" t="n">
        <v>1</v>
      </c>
      <c r="AO49" s="0" t="n">
        <v>4</v>
      </c>
      <c r="AP49" s="0" t="n">
        <v>5</v>
      </c>
      <c r="AQ49" s="0" t="n">
        <v>10</v>
      </c>
      <c r="AR49" s="0" t="n">
        <v>10</v>
      </c>
      <c r="AU49" s="37" t="n">
        <v>35</v>
      </c>
      <c r="AV49" s="38" t="n">
        <f aca="false">VLOOKUP(AL49, $L$3:$M$26, 2, 0)</f>
        <v>0</v>
      </c>
      <c r="AW49" s="38" t="n">
        <f aca="false">VLOOKUP(AM49, $L$3:$M$26, 2, 0)</f>
        <v>0.583333333333333</v>
      </c>
      <c r="AX49" s="38" t="n">
        <f aca="false">VLOOKUP(AN49, $L$3:$M$26, 2, 0)</f>
        <v>0.583333333333333</v>
      </c>
      <c r="AY49" s="38" t="n">
        <f aca="false">VLOOKUP(AO49, $L$3:$M$26, 2, 0)</f>
        <v>0.833333333333333</v>
      </c>
      <c r="AZ49" s="38" t="n">
        <f aca="false">VLOOKUP(AP49, $L$3:$M$26, 2, 0)</f>
        <v>0.166666666666667</v>
      </c>
      <c r="BA49" s="38" t="n">
        <f aca="false">VLOOKUP(AQ49, $L$3:$M$26, 2, 0)</f>
        <v>0.416666666666667</v>
      </c>
      <c r="BB49" s="38" t="n">
        <f aca="false">VLOOKUP(AR49, $L$3:$M$26, 2, 0)</f>
        <v>0.416666666666667</v>
      </c>
    </row>
    <row r="50" customFormat="false" ht="12.8" hidden="false" customHeight="false" outlineLevel="0" collapsed="false">
      <c r="R50" s="9" t="n">
        <f aca="false">R49+1</f>
        <v>47</v>
      </c>
      <c r="S50" s="0" t="n">
        <v>0.833333333333333</v>
      </c>
      <c r="T50" s="0" t="n">
        <v>0.833333333333333</v>
      </c>
      <c r="U50" s="0" t="n">
        <v>0.416666666666667</v>
      </c>
      <c r="V50" s="0" t="n">
        <v>0.416666666666667</v>
      </c>
      <c r="W50" s="0" t="n">
        <v>0</v>
      </c>
      <c r="X50" s="0" t="n">
        <v>0</v>
      </c>
      <c r="Y50" s="0" t="n">
        <v>0.583333333333333</v>
      </c>
      <c r="AB50" s="0" t="n">
        <v>47</v>
      </c>
      <c r="AC50" s="0" t="n">
        <f aca="false">VLOOKUP(S50, $K$3:$L$26, 2, 0)</f>
        <v>4</v>
      </c>
      <c r="AD50" s="0" t="n">
        <f aca="false">VLOOKUP(T50, $K$3:$L$26, 2, 0)</f>
        <v>4</v>
      </c>
      <c r="AE50" s="0" t="n">
        <f aca="false">VLOOKUP(U50, $K$3:$L$26, 2, 0)</f>
        <v>10</v>
      </c>
      <c r="AF50" s="0" t="n">
        <f aca="false">VLOOKUP(V50, $K$3:$L$26, 2, 0)</f>
        <v>10</v>
      </c>
      <c r="AG50" s="0" t="n">
        <f aca="false">VLOOKUP(W50, $K$3:$L$26, 2, 0)</f>
        <v>0</v>
      </c>
      <c r="AH50" s="0" t="n">
        <f aca="false">VLOOKUP(X50, $K$3:$L$26, 2, 0)</f>
        <v>0</v>
      </c>
      <c r="AI50" s="0" t="n">
        <f aca="false">VLOOKUP(Y50, $K$3:$L$26, 2, 0)</f>
        <v>1</v>
      </c>
      <c r="AK50" s="36" t="n">
        <v>36</v>
      </c>
      <c r="AL50" s="0" t="n">
        <v>0</v>
      </c>
      <c r="AM50" s="0" t="n">
        <v>1</v>
      </c>
      <c r="AN50" s="0" t="n">
        <v>1</v>
      </c>
      <c r="AO50" s="0" t="n">
        <v>4</v>
      </c>
      <c r="AP50" s="0" t="n">
        <v>5</v>
      </c>
      <c r="AQ50" s="0" t="n">
        <v>10</v>
      </c>
      <c r="AR50" s="0" t="n">
        <v>10</v>
      </c>
      <c r="AU50" s="37" t="n">
        <v>36</v>
      </c>
      <c r="AV50" s="38" t="n">
        <f aca="false">VLOOKUP(AL50, $L$3:$M$26, 2, 0)</f>
        <v>0</v>
      </c>
      <c r="AW50" s="38" t="n">
        <f aca="false">VLOOKUP(AM50, $L$3:$M$26, 2, 0)</f>
        <v>0.583333333333333</v>
      </c>
      <c r="AX50" s="38" t="n">
        <f aca="false">VLOOKUP(AN50, $L$3:$M$26, 2, 0)</f>
        <v>0.583333333333333</v>
      </c>
      <c r="AY50" s="38" t="n">
        <f aca="false">VLOOKUP(AO50, $L$3:$M$26, 2, 0)</f>
        <v>0.833333333333333</v>
      </c>
      <c r="AZ50" s="38" t="n">
        <f aca="false">VLOOKUP(AP50, $L$3:$M$26, 2, 0)</f>
        <v>0.166666666666667</v>
      </c>
      <c r="BA50" s="38" t="n">
        <f aca="false">VLOOKUP(AQ50, $L$3:$M$26, 2, 0)</f>
        <v>0.416666666666667</v>
      </c>
      <c r="BB50" s="38" t="n">
        <f aca="false">VLOOKUP(AR50, $L$3:$M$26, 2, 0)</f>
        <v>0.416666666666667</v>
      </c>
    </row>
    <row r="51" customFormat="false" ht="12.8" hidden="false" customHeight="false" outlineLevel="0" collapsed="false">
      <c r="R51" s="9" t="n">
        <f aca="false">R50+1</f>
        <v>48</v>
      </c>
      <c r="S51" s="0" t="n">
        <v>0.833333333333333</v>
      </c>
      <c r="T51" s="0" t="n">
        <v>0.833333333333333</v>
      </c>
      <c r="U51" s="0" t="n">
        <v>0.416666666666667</v>
      </c>
      <c r="V51" s="0" t="n">
        <v>0.416666666666667</v>
      </c>
      <c r="W51" s="0" t="n">
        <v>0</v>
      </c>
      <c r="X51" s="0" t="n">
        <v>0</v>
      </c>
      <c r="Y51" s="0" t="n">
        <v>0.583333333333333</v>
      </c>
      <c r="AB51" s="0" t="n">
        <v>48</v>
      </c>
      <c r="AC51" s="0" t="n">
        <f aca="false">VLOOKUP(S51, $K$3:$L$26, 2, 0)</f>
        <v>4</v>
      </c>
      <c r="AD51" s="0" t="n">
        <f aca="false">VLOOKUP(T51, $K$3:$L$26, 2, 0)</f>
        <v>4</v>
      </c>
      <c r="AE51" s="0" t="n">
        <f aca="false">VLOOKUP(U51, $K$3:$L$26, 2, 0)</f>
        <v>10</v>
      </c>
      <c r="AF51" s="0" t="n">
        <f aca="false">VLOOKUP(V51, $K$3:$L$26, 2, 0)</f>
        <v>10</v>
      </c>
      <c r="AG51" s="0" t="n">
        <f aca="false">VLOOKUP(W51, $K$3:$L$26, 2, 0)</f>
        <v>0</v>
      </c>
      <c r="AH51" s="0" t="n">
        <f aca="false">VLOOKUP(X51, $K$3:$L$26, 2, 0)</f>
        <v>0</v>
      </c>
      <c r="AI51" s="0" t="n">
        <f aca="false">VLOOKUP(Y51, $K$3:$L$26, 2, 0)</f>
        <v>1</v>
      </c>
      <c r="AK51" s="36" t="n">
        <v>37</v>
      </c>
      <c r="AL51" s="0" t="n">
        <v>0</v>
      </c>
      <c r="AM51" s="0" t="n">
        <v>1</v>
      </c>
      <c r="AN51" s="0" t="n">
        <v>1</v>
      </c>
      <c r="AO51" s="0" t="n">
        <v>2</v>
      </c>
      <c r="AP51" s="0" t="n">
        <v>4</v>
      </c>
      <c r="AQ51" s="0" t="n">
        <v>5.1</v>
      </c>
      <c r="AR51" s="0" t="n">
        <v>10</v>
      </c>
      <c r="AU51" s="37" t="n">
        <v>37</v>
      </c>
      <c r="AV51" s="38" t="n">
        <f aca="false">VLOOKUP(AL51, $L$3:$M$26, 2, 0)</f>
        <v>0</v>
      </c>
      <c r="AW51" s="38" t="n">
        <f aca="false">VLOOKUP(AM51, $L$3:$M$26, 2, 0)</f>
        <v>0.583333333333333</v>
      </c>
      <c r="AX51" s="38" t="n">
        <f aca="false">VLOOKUP(AN51, $L$3:$M$26, 2, 0)</f>
        <v>0.583333333333333</v>
      </c>
      <c r="AY51" s="38" t="n">
        <f aca="false">VLOOKUP(AO51, $L$3:$M$26, 2, 0)</f>
        <v>0.25</v>
      </c>
      <c r="AZ51" s="38" t="n">
        <f aca="false">VLOOKUP(AP51, $L$3:$M$26, 2, 0)</f>
        <v>0.833333333333333</v>
      </c>
      <c r="BA51" s="38" t="n">
        <f aca="false">VLOOKUP(AQ51, $L$3:$M$26, 2, 0)</f>
        <v>1.167</v>
      </c>
      <c r="BB51" s="38" t="n">
        <f aca="false">VLOOKUP(AR51, $L$3:$M$26, 2, 0)</f>
        <v>0.416666666666667</v>
      </c>
    </row>
    <row r="52" customFormat="false" ht="12.8" hidden="false" customHeight="false" outlineLevel="0" collapsed="false">
      <c r="R52" s="9" t="n">
        <f aca="false">R51+1</f>
        <v>49</v>
      </c>
      <c r="S52" s="0" t="n">
        <v>0.25</v>
      </c>
      <c r="T52" s="0" t="n">
        <v>0.833333333333333</v>
      </c>
      <c r="U52" s="0" t="n">
        <v>0.833333333333333</v>
      </c>
      <c r="V52" s="0" t="n">
        <v>0.416666666666667</v>
      </c>
      <c r="W52" s="0" t="n">
        <v>0</v>
      </c>
      <c r="X52" s="0" t="n">
        <v>0</v>
      </c>
      <c r="Y52" s="0" t="n">
        <v>0.583333333333333</v>
      </c>
      <c r="AB52" s="0" t="n">
        <v>49</v>
      </c>
      <c r="AC52" s="0" t="n">
        <f aca="false">VLOOKUP(S52, $K$3:$L$26, 2, 0)</f>
        <v>2</v>
      </c>
      <c r="AD52" s="0" t="n">
        <f aca="false">VLOOKUP(T52, $K$3:$L$26, 2, 0)</f>
        <v>4</v>
      </c>
      <c r="AE52" s="0" t="n">
        <f aca="false">VLOOKUP(U52, $K$3:$L$26, 2, 0)</f>
        <v>4</v>
      </c>
      <c r="AF52" s="0" t="n">
        <f aca="false">VLOOKUP(V52, $K$3:$L$26, 2, 0)</f>
        <v>10</v>
      </c>
      <c r="AG52" s="0" t="n">
        <f aca="false">VLOOKUP(W52, $K$3:$L$26, 2, 0)</f>
        <v>0</v>
      </c>
      <c r="AH52" s="0" t="n">
        <f aca="false">VLOOKUP(X52, $K$3:$L$26, 2, 0)</f>
        <v>0</v>
      </c>
      <c r="AI52" s="0" t="n">
        <f aca="false">VLOOKUP(Y52, $K$3:$L$26, 2, 0)</f>
        <v>1</v>
      </c>
      <c r="AK52" s="36" t="n">
        <v>38</v>
      </c>
      <c r="AL52" s="0" t="n">
        <v>0</v>
      </c>
      <c r="AM52" s="0" t="n">
        <v>1</v>
      </c>
      <c r="AN52" s="0" t="n">
        <v>1</v>
      </c>
      <c r="AO52" s="0" t="n">
        <v>2</v>
      </c>
      <c r="AP52" s="0" t="n">
        <v>4</v>
      </c>
      <c r="AQ52" s="0" t="n">
        <v>5.1</v>
      </c>
      <c r="AR52" s="0" t="n">
        <v>10</v>
      </c>
      <c r="AU52" s="37" t="n">
        <v>38</v>
      </c>
      <c r="AV52" s="38" t="n">
        <f aca="false">VLOOKUP(AL52, $L$3:$M$26, 2, 0)</f>
        <v>0</v>
      </c>
      <c r="AW52" s="38" t="n">
        <f aca="false">VLOOKUP(AM52, $L$3:$M$26, 2, 0)</f>
        <v>0.583333333333333</v>
      </c>
      <c r="AX52" s="38" t="n">
        <f aca="false">VLOOKUP(AN52, $L$3:$M$26, 2, 0)</f>
        <v>0.583333333333333</v>
      </c>
      <c r="AY52" s="38" t="n">
        <f aca="false">VLOOKUP(AO52, $L$3:$M$26, 2, 0)</f>
        <v>0.25</v>
      </c>
      <c r="AZ52" s="38" t="n">
        <f aca="false">VLOOKUP(AP52, $L$3:$M$26, 2, 0)</f>
        <v>0.833333333333333</v>
      </c>
      <c r="BA52" s="38" t="n">
        <f aca="false">VLOOKUP(AQ52, $L$3:$M$26, 2, 0)</f>
        <v>1.167</v>
      </c>
      <c r="BB52" s="38" t="n">
        <f aca="false">VLOOKUP(AR52, $L$3:$M$26, 2, 0)</f>
        <v>0.416666666666667</v>
      </c>
    </row>
    <row r="53" customFormat="false" ht="12.8" hidden="false" customHeight="false" outlineLevel="0" collapsed="false">
      <c r="R53" s="9" t="n">
        <f aca="false">R52+1</f>
        <v>50</v>
      </c>
      <c r="S53" s="0" t="n">
        <v>0.25</v>
      </c>
      <c r="T53" s="0" t="n">
        <v>0.833333333333333</v>
      </c>
      <c r="U53" s="0" t="n">
        <v>0.833333333333333</v>
      </c>
      <c r="V53" s="0" t="n">
        <v>0.416666666666667</v>
      </c>
      <c r="W53" s="0" t="n">
        <v>0</v>
      </c>
      <c r="X53" s="0" t="n">
        <v>0</v>
      </c>
      <c r="Y53" s="0" t="n">
        <v>0.583333333333333</v>
      </c>
      <c r="AB53" s="0" t="n">
        <v>50</v>
      </c>
      <c r="AC53" s="0" t="n">
        <f aca="false">VLOOKUP(S53, $K$3:$L$26, 2, 0)</f>
        <v>2</v>
      </c>
      <c r="AD53" s="0" t="n">
        <f aca="false">VLOOKUP(T53, $K$3:$L$26, 2, 0)</f>
        <v>4</v>
      </c>
      <c r="AE53" s="0" t="n">
        <f aca="false">VLOOKUP(U53, $K$3:$L$26, 2, 0)</f>
        <v>4</v>
      </c>
      <c r="AF53" s="0" t="n">
        <f aca="false">VLOOKUP(V53, $K$3:$L$26, 2, 0)</f>
        <v>10</v>
      </c>
      <c r="AG53" s="0" t="n">
        <f aca="false">VLOOKUP(W53, $K$3:$L$26, 2, 0)</f>
        <v>0</v>
      </c>
      <c r="AH53" s="0" t="n">
        <f aca="false">VLOOKUP(X53, $K$3:$L$26, 2, 0)</f>
        <v>0</v>
      </c>
      <c r="AI53" s="0" t="n">
        <f aca="false">VLOOKUP(Y53, $K$3:$L$26, 2, 0)</f>
        <v>1</v>
      </c>
      <c r="AK53" s="36" t="n">
        <v>39</v>
      </c>
      <c r="AL53" s="0" t="n">
        <v>0</v>
      </c>
      <c r="AM53" s="0" t="n">
        <v>1.1</v>
      </c>
      <c r="AN53" s="0" t="n">
        <v>2</v>
      </c>
      <c r="AO53" s="0" t="n">
        <v>4</v>
      </c>
      <c r="AP53" s="0" t="n">
        <v>5.1</v>
      </c>
      <c r="AQ53" s="0" t="n">
        <v>9</v>
      </c>
      <c r="AR53" s="0" t="n">
        <v>10</v>
      </c>
      <c r="AU53" s="37" t="n">
        <v>39</v>
      </c>
      <c r="AV53" s="38" t="n">
        <f aca="false">VLOOKUP(AL53, $L$3:$M$26, 2, 0)</f>
        <v>0</v>
      </c>
      <c r="AW53" s="38" t="n">
        <f aca="false">VLOOKUP(AM53, $L$3:$M$26, 2, 0)</f>
        <v>1.583</v>
      </c>
      <c r="AX53" s="38" t="n">
        <f aca="false">VLOOKUP(AN53, $L$3:$M$26, 2, 0)</f>
        <v>0.25</v>
      </c>
      <c r="AY53" s="38" t="n">
        <f aca="false">VLOOKUP(AO53, $L$3:$M$26, 2, 0)</f>
        <v>0.833333333333333</v>
      </c>
      <c r="AZ53" s="38" t="n">
        <f aca="false">VLOOKUP(AP53, $L$3:$M$26, 2, 0)</f>
        <v>1.167</v>
      </c>
      <c r="BA53" s="38" t="n">
        <f aca="false">VLOOKUP(AQ53, $L$3:$M$26, 2, 0)</f>
        <v>0.666666666666667</v>
      </c>
      <c r="BB53" s="38" t="n">
        <f aca="false">VLOOKUP(AR53, $L$3:$M$26, 2, 0)</f>
        <v>0.416666666666667</v>
      </c>
    </row>
    <row r="54" customFormat="false" ht="12.8" hidden="false" customHeight="false" outlineLevel="0" collapsed="false">
      <c r="R54" s="9" t="n">
        <f aca="false">R53+1</f>
        <v>51</v>
      </c>
      <c r="S54" s="0" t="n">
        <v>0.666666666666667</v>
      </c>
      <c r="T54" s="0" t="n">
        <v>0.25</v>
      </c>
      <c r="U54" s="0" t="n">
        <v>0.833333333333333</v>
      </c>
      <c r="V54" s="0" t="n">
        <v>0.416666666666667</v>
      </c>
      <c r="W54" s="0" t="n">
        <v>0</v>
      </c>
      <c r="X54" s="0" t="n">
        <v>1.583</v>
      </c>
      <c r="Y54" s="0" t="n">
        <v>1.583</v>
      </c>
      <c r="AB54" s="0" t="n">
        <v>51</v>
      </c>
      <c r="AC54" s="0" t="n">
        <f aca="false">VLOOKUP(S54, $K$3:$L$26, 2, 0)</f>
        <v>9</v>
      </c>
      <c r="AD54" s="0" t="n">
        <f aca="false">VLOOKUP(T54, $K$3:$L$26, 2, 0)</f>
        <v>2</v>
      </c>
      <c r="AE54" s="0" t="n">
        <f aca="false">VLOOKUP(U54, $K$3:$L$26, 2, 0)</f>
        <v>4</v>
      </c>
      <c r="AF54" s="0" t="n">
        <f aca="false">VLOOKUP(V54, $K$3:$L$26, 2, 0)</f>
        <v>10</v>
      </c>
      <c r="AG54" s="0" t="n">
        <f aca="false">VLOOKUP(W54, $K$3:$L$26, 2, 0)</f>
        <v>0</v>
      </c>
      <c r="AH54" s="0" t="n">
        <f aca="false">VLOOKUP(X54, $K$3:$L$26, 2, 0)</f>
        <v>1.1</v>
      </c>
      <c r="AI54" s="0" t="n">
        <f aca="false">VLOOKUP(Y54, $K$3:$L$26, 2, 0)</f>
        <v>1.1</v>
      </c>
      <c r="AK54" s="36" t="n">
        <v>40</v>
      </c>
      <c r="AL54" s="0" t="n">
        <v>0</v>
      </c>
      <c r="AM54" s="0" t="n">
        <v>1.1</v>
      </c>
      <c r="AN54" s="0" t="n">
        <v>2</v>
      </c>
      <c r="AO54" s="0" t="n">
        <v>4</v>
      </c>
      <c r="AP54" s="0" t="n">
        <v>5.1</v>
      </c>
      <c r="AQ54" s="0" t="n">
        <v>9</v>
      </c>
      <c r="AR54" s="0" t="n">
        <v>10</v>
      </c>
      <c r="AU54" s="37" t="n">
        <v>40</v>
      </c>
      <c r="AV54" s="38" t="n">
        <f aca="false">VLOOKUP(AL54, $L$3:$M$26, 2, 0)</f>
        <v>0</v>
      </c>
      <c r="AW54" s="38" t="n">
        <f aca="false">VLOOKUP(AM54, $L$3:$M$26, 2, 0)</f>
        <v>1.583</v>
      </c>
      <c r="AX54" s="38" t="n">
        <f aca="false">VLOOKUP(AN54, $L$3:$M$26, 2, 0)</f>
        <v>0.25</v>
      </c>
      <c r="AY54" s="38" t="n">
        <f aca="false">VLOOKUP(AO54, $L$3:$M$26, 2, 0)</f>
        <v>0.833333333333333</v>
      </c>
      <c r="AZ54" s="38" t="n">
        <f aca="false">VLOOKUP(AP54, $L$3:$M$26, 2, 0)</f>
        <v>1.167</v>
      </c>
      <c r="BA54" s="38" t="n">
        <f aca="false">VLOOKUP(AQ54, $L$3:$M$26, 2, 0)</f>
        <v>0.666666666666667</v>
      </c>
      <c r="BB54" s="38" t="n">
        <f aca="false">VLOOKUP(AR54, $L$3:$M$26, 2, 0)</f>
        <v>0.416666666666667</v>
      </c>
    </row>
    <row r="55" customFormat="false" ht="12.8" hidden="false" customHeight="false" outlineLevel="0" collapsed="false">
      <c r="R55" s="9" t="n">
        <f aca="false">R54+1</f>
        <v>52</v>
      </c>
      <c r="S55" s="0" t="n">
        <v>0.666666666666667</v>
      </c>
      <c r="T55" s="0" t="n">
        <v>0.25</v>
      </c>
      <c r="U55" s="0" t="n">
        <v>0.833333333333333</v>
      </c>
      <c r="V55" s="0" t="n">
        <v>0.416666666666667</v>
      </c>
      <c r="W55" s="0" t="n">
        <v>0</v>
      </c>
      <c r="X55" s="0" t="n">
        <v>1.583</v>
      </c>
      <c r="Y55" s="0" t="n">
        <v>1.583</v>
      </c>
      <c r="AB55" s="0" t="n">
        <v>52</v>
      </c>
      <c r="AC55" s="0" t="n">
        <f aca="false">VLOOKUP(S55, $K$3:$L$26, 2, 0)</f>
        <v>9</v>
      </c>
      <c r="AD55" s="0" t="n">
        <f aca="false">VLOOKUP(T55, $K$3:$L$26, 2, 0)</f>
        <v>2</v>
      </c>
      <c r="AE55" s="0" t="n">
        <f aca="false">VLOOKUP(U55, $K$3:$L$26, 2, 0)</f>
        <v>4</v>
      </c>
      <c r="AF55" s="0" t="n">
        <f aca="false">VLOOKUP(V55, $K$3:$L$26, 2, 0)</f>
        <v>10</v>
      </c>
      <c r="AG55" s="0" t="n">
        <f aca="false">VLOOKUP(W55, $K$3:$L$26, 2, 0)</f>
        <v>0</v>
      </c>
      <c r="AH55" s="0" t="n">
        <f aca="false">VLOOKUP(X55, $K$3:$L$26, 2, 0)</f>
        <v>1.1</v>
      </c>
      <c r="AI55" s="0" t="n">
        <f aca="false">VLOOKUP(Y55, $K$3:$L$26, 2, 0)</f>
        <v>1.1</v>
      </c>
      <c r="AK55" s="36" t="n">
        <v>41</v>
      </c>
      <c r="AL55" s="0" t="n">
        <v>0</v>
      </c>
      <c r="AM55" s="0" t="n">
        <v>0</v>
      </c>
      <c r="AN55" s="0" t="n">
        <v>1.1</v>
      </c>
      <c r="AO55" s="0" t="n">
        <v>2</v>
      </c>
      <c r="AP55" s="0" t="n">
        <v>4</v>
      </c>
      <c r="AQ55" s="0" t="n">
        <v>5.1</v>
      </c>
      <c r="AR55" s="0" t="n">
        <v>9</v>
      </c>
      <c r="AU55" s="37" t="n">
        <v>41</v>
      </c>
      <c r="AV55" s="38" t="n">
        <f aca="false">VLOOKUP(AL55, $L$3:$M$26, 2, 0)</f>
        <v>0</v>
      </c>
      <c r="AW55" s="38" t="n">
        <f aca="false">VLOOKUP(AM55, $L$3:$M$26, 2, 0)</f>
        <v>0</v>
      </c>
      <c r="AX55" s="38" t="n">
        <f aca="false">VLOOKUP(AN55, $L$3:$M$26, 2, 0)</f>
        <v>1.583</v>
      </c>
      <c r="AY55" s="38" t="n">
        <f aca="false">VLOOKUP(AO55, $L$3:$M$26, 2, 0)</f>
        <v>0.25</v>
      </c>
      <c r="AZ55" s="38" t="n">
        <f aca="false">VLOOKUP(AP55, $L$3:$M$26, 2, 0)</f>
        <v>0.833333333333333</v>
      </c>
      <c r="BA55" s="38" t="n">
        <f aca="false">VLOOKUP(AQ55, $L$3:$M$26, 2, 0)</f>
        <v>1.167</v>
      </c>
      <c r="BB55" s="38" t="n">
        <f aca="false">VLOOKUP(AR55, $L$3:$M$26, 2, 0)</f>
        <v>0.666666666666667</v>
      </c>
    </row>
    <row r="56" customFormat="false" ht="12.8" hidden="false" customHeight="false" outlineLevel="0" collapsed="false">
      <c r="R56" s="9" t="n">
        <f aca="false">R55+1</f>
        <v>53</v>
      </c>
      <c r="S56" s="0" t="n">
        <v>0.666666666666667</v>
      </c>
      <c r="T56" s="0" t="n">
        <v>0.666666666666667</v>
      </c>
      <c r="U56" s="0" t="n">
        <v>0.25</v>
      </c>
      <c r="V56" s="0" t="n">
        <v>0.25</v>
      </c>
      <c r="W56" s="0" t="n">
        <v>0</v>
      </c>
      <c r="X56" s="0" t="n">
        <v>0</v>
      </c>
      <c r="Y56" s="0" t="n">
        <v>1.583</v>
      </c>
      <c r="AB56" s="0" t="n">
        <v>53</v>
      </c>
      <c r="AC56" s="0" t="n">
        <f aca="false">VLOOKUP(S56, $K$3:$L$26, 2, 0)</f>
        <v>9</v>
      </c>
      <c r="AD56" s="0" t="n">
        <f aca="false">VLOOKUP(T56, $K$3:$L$26, 2, 0)</f>
        <v>9</v>
      </c>
      <c r="AE56" s="0" t="n">
        <f aca="false">VLOOKUP(U56, $K$3:$L$26, 2, 0)</f>
        <v>2</v>
      </c>
      <c r="AF56" s="0" t="n">
        <f aca="false">VLOOKUP(V56, $K$3:$L$26, 2, 0)</f>
        <v>2</v>
      </c>
      <c r="AG56" s="0" t="n">
        <f aca="false">VLOOKUP(W56, $K$3:$L$26, 2, 0)</f>
        <v>0</v>
      </c>
      <c r="AH56" s="0" t="n">
        <f aca="false">VLOOKUP(X56, $K$3:$L$26, 2, 0)</f>
        <v>0</v>
      </c>
      <c r="AI56" s="0" t="n">
        <f aca="false">VLOOKUP(Y56, $K$3:$L$26, 2, 0)</f>
        <v>1.1</v>
      </c>
      <c r="AK56" s="36" t="n">
        <v>42</v>
      </c>
      <c r="AL56" s="0" t="n">
        <v>0</v>
      </c>
      <c r="AM56" s="0" t="n">
        <v>0</v>
      </c>
      <c r="AN56" s="0" t="n">
        <v>1.1</v>
      </c>
      <c r="AO56" s="0" t="n">
        <v>2</v>
      </c>
      <c r="AP56" s="0" t="n">
        <v>4</v>
      </c>
      <c r="AQ56" s="0" t="n">
        <v>5.1</v>
      </c>
      <c r="AR56" s="0" t="n">
        <v>9</v>
      </c>
      <c r="AU56" s="37" t="n">
        <v>42</v>
      </c>
      <c r="AV56" s="38" t="n">
        <f aca="false">VLOOKUP(AL56, $L$3:$M$26, 2, 0)</f>
        <v>0</v>
      </c>
      <c r="AW56" s="38" t="n">
        <f aca="false">VLOOKUP(AM56, $L$3:$M$26, 2, 0)</f>
        <v>0</v>
      </c>
      <c r="AX56" s="38" t="n">
        <f aca="false">VLOOKUP(AN56, $L$3:$M$26, 2, 0)</f>
        <v>1.583</v>
      </c>
      <c r="AY56" s="38" t="n">
        <f aca="false">VLOOKUP(AO56, $L$3:$M$26, 2, 0)</f>
        <v>0.25</v>
      </c>
      <c r="AZ56" s="38" t="n">
        <f aca="false">VLOOKUP(AP56, $L$3:$M$26, 2, 0)</f>
        <v>0.833333333333333</v>
      </c>
      <c r="BA56" s="38" t="n">
        <f aca="false">VLOOKUP(AQ56, $L$3:$M$26, 2, 0)</f>
        <v>1.167</v>
      </c>
      <c r="BB56" s="38" t="n">
        <f aca="false">VLOOKUP(AR56, $L$3:$M$26, 2, 0)</f>
        <v>0.666666666666667</v>
      </c>
    </row>
    <row r="57" customFormat="false" ht="12.8" hidden="false" customHeight="false" outlineLevel="0" collapsed="false">
      <c r="R57" s="9" t="n">
        <f aca="false">R56+1</f>
        <v>54</v>
      </c>
      <c r="S57" s="0" t="n">
        <v>0.666666666666667</v>
      </c>
      <c r="T57" s="0" t="n">
        <v>0.666666666666667</v>
      </c>
      <c r="U57" s="0" t="n">
        <v>0.25</v>
      </c>
      <c r="V57" s="0" t="n">
        <v>0.25</v>
      </c>
      <c r="W57" s="0" t="n">
        <v>0</v>
      </c>
      <c r="X57" s="0" t="n">
        <v>0</v>
      </c>
      <c r="Y57" s="0" t="n">
        <v>1.583</v>
      </c>
      <c r="AB57" s="0" t="n">
        <v>54</v>
      </c>
      <c r="AC57" s="0" t="n">
        <f aca="false">VLOOKUP(S57, $K$3:$L$26, 2, 0)</f>
        <v>9</v>
      </c>
      <c r="AD57" s="0" t="n">
        <f aca="false">VLOOKUP(T57, $K$3:$L$26, 2, 0)</f>
        <v>9</v>
      </c>
      <c r="AE57" s="0" t="n">
        <f aca="false">VLOOKUP(U57, $K$3:$L$26, 2, 0)</f>
        <v>2</v>
      </c>
      <c r="AF57" s="0" t="n">
        <f aca="false">VLOOKUP(V57, $K$3:$L$26, 2, 0)</f>
        <v>2</v>
      </c>
      <c r="AG57" s="0" t="n">
        <f aca="false">VLOOKUP(W57, $K$3:$L$26, 2, 0)</f>
        <v>0</v>
      </c>
      <c r="AH57" s="0" t="n">
        <f aca="false">VLOOKUP(X57, $K$3:$L$26, 2, 0)</f>
        <v>0</v>
      </c>
      <c r="AI57" s="0" t="n">
        <f aca="false">VLOOKUP(Y57, $K$3:$L$26, 2, 0)</f>
        <v>1.1</v>
      </c>
      <c r="AK57" s="36" t="n">
        <v>43</v>
      </c>
      <c r="AL57" s="0" t="n">
        <v>0</v>
      </c>
      <c r="AM57" s="0" t="n">
        <v>0</v>
      </c>
      <c r="AN57" s="0" t="n">
        <v>0</v>
      </c>
      <c r="AO57" s="0" t="n">
        <v>1</v>
      </c>
      <c r="AP57" s="0" t="n">
        <v>1</v>
      </c>
      <c r="AQ57" s="0" t="n">
        <v>1</v>
      </c>
      <c r="AR57" s="0" t="n">
        <v>1</v>
      </c>
      <c r="AU57" s="37" t="n">
        <v>43</v>
      </c>
      <c r="AV57" s="38" t="n">
        <f aca="false">VLOOKUP(AL57, $L$3:$M$26, 2, 0)</f>
        <v>0</v>
      </c>
      <c r="AW57" s="38" t="n">
        <f aca="false">VLOOKUP(AM57, $L$3:$M$26, 2, 0)</f>
        <v>0</v>
      </c>
      <c r="AX57" s="38" t="n">
        <f aca="false">VLOOKUP(AN57, $L$3:$M$26, 2, 0)</f>
        <v>0</v>
      </c>
      <c r="AY57" s="38" t="n">
        <f aca="false">VLOOKUP(AO57, $L$3:$M$26, 2, 0)</f>
        <v>0.583333333333333</v>
      </c>
      <c r="AZ57" s="38" t="n">
        <f aca="false">VLOOKUP(AP57, $L$3:$M$26, 2, 0)</f>
        <v>0.583333333333333</v>
      </c>
      <c r="BA57" s="38" t="n">
        <f aca="false">VLOOKUP(AQ57, $L$3:$M$26, 2, 0)</f>
        <v>0.583333333333333</v>
      </c>
      <c r="BB57" s="38" t="n">
        <f aca="false">VLOOKUP(AR57, $L$3:$M$26, 2, 0)</f>
        <v>0.583333333333333</v>
      </c>
    </row>
    <row r="58" customFormat="false" ht="12.8" hidden="false" customHeight="false" outlineLevel="0" collapsed="false">
      <c r="R58" s="9" t="n">
        <f aca="false">R57+1</f>
        <v>55</v>
      </c>
      <c r="S58" s="0" t="n">
        <v>0.0833333333333333</v>
      </c>
      <c r="T58" s="0" t="n">
        <v>0.666666666666667</v>
      </c>
      <c r="U58" s="0" t="n">
        <v>0.25</v>
      </c>
      <c r="V58" s="0" t="n">
        <v>0.833333333333333</v>
      </c>
      <c r="W58" s="0" t="n">
        <v>0.416666666666667</v>
      </c>
      <c r="X58" s="0" t="n">
        <v>1</v>
      </c>
      <c r="Y58" s="0" t="n">
        <v>1.583</v>
      </c>
      <c r="AB58" s="0" t="n">
        <v>55</v>
      </c>
      <c r="AC58" s="0" t="n">
        <f aca="false">VLOOKUP(S58, $K$3:$L$26, 2, 0)</f>
        <v>11</v>
      </c>
      <c r="AD58" s="0" t="n">
        <f aca="false">VLOOKUP(T58, $K$3:$L$26, 2, 0)</f>
        <v>9</v>
      </c>
      <c r="AE58" s="0" t="n">
        <f aca="false">VLOOKUP(U58, $K$3:$L$26, 2, 0)</f>
        <v>2</v>
      </c>
      <c r="AF58" s="0" t="n">
        <f aca="false">VLOOKUP(V58, $K$3:$L$26, 2, 0)</f>
        <v>4</v>
      </c>
      <c r="AG58" s="0" t="n">
        <f aca="false">VLOOKUP(W58, $K$3:$L$26, 2, 0)</f>
        <v>10</v>
      </c>
      <c r="AH58" s="0" t="n">
        <f aca="false">VLOOKUP(X58, $K$3:$L$26, 2, 0)</f>
        <v>0.1</v>
      </c>
      <c r="AI58" s="0" t="n">
        <f aca="false">VLOOKUP(Y58, $K$3:$L$26, 2, 0)</f>
        <v>1.1</v>
      </c>
      <c r="AK58" s="36" t="n">
        <v>44</v>
      </c>
      <c r="AL58" s="0" t="n">
        <v>0</v>
      </c>
      <c r="AM58" s="0" t="n">
        <v>0</v>
      </c>
      <c r="AN58" s="0" t="n">
        <v>0</v>
      </c>
      <c r="AO58" s="0" t="n">
        <v>1</v>
      </c>
      <c r="AP58" s="0" t="n">
        <v>1</v>
      </c>
      <c r="AQ58" s="0" t="n">
        <v>1</v>
      </c>
      <c r="AR58" s="0" t="n">
        <v>1</v>
      </c>
      <c r="AU58" s="37" t="n">
        <v>44</v>
      </c>
      <c r="AV58" s="38" t="n">
        <f aca="false">VLOOKUP(AL58, $L$3:$M$26, 2, 0)</f>
        <v>0</v>
      </c>
      <c r="AW58" s="38" t="n">
        <f aca="false">VLOOKUP(AM58, $L$3:$M$26, 2, 0)</f>
        <v>0</v>
      </c>
      <c r="AX58" s="38" t="n">
        <f aca="false">VLOOKUP(AN58, $L$3:$M$26, 2, 0)</f>
        <v>0</v>
      </c>
      <c r="AY58" s="38" t="n">
        <f aca="false">VLOOKUP(AO58, $L$3:$M$26, 2, 0)</f>
        <v>0.583333333333333</v>
      </c>
      <c r="AZ58" s="38" t="n">
        <f aca="false">VLOOKUP(AP58, $L$3:$M$26, 2, 0)</f>
        <v>0.583333333333333</v>
      </c>
      <c r="BA58" s="38" t="n">
        <f aca="false">VLOOKUP(AQ58, $L$3:$M$26, 2, 0)</f>
        <v>0.583333333333333</v>
      </c>
      <c r="BB58" s="38" t="n">
        <f aca="false">VLOOKUP(AR58, $L$3:$M$26, 2, 0)</f>
        <v>0.583333333333333</v>
      </c>
    </row>
    <row r="59" customFormat="false" ht="12.8" hidden="false" customHeight="false" outlineLevel="0" collapsed="false">
      <c r="R59" s="9" t="n">
        <f aca="false">R58+1</f>
        <v>56</v>
      </c>
      <c r="S59" s="0" t="n">
        <v>0.0833333333333333</v>
      </c>
      <c r="T59" s="0" t="n">
        <v>0.666666666666667</v>
      </c>
      <c r="U59" s="0" t="n">
        <v>0.25</v>
      </c>
      <c r="V59" s="0" t="n">
        <v>0.833333333333333</v>
      </c>
      <c r="W59" s="0" t="n">
        <v>0.416666666666667</v>
      </c>
      <c r="X59" s="0" t="n">
        <v>1</v>
      </c>
      <c r="Y59" s="0" t="n">
        <v>1.583</v>
      </c>
      <c r="AB59" s="0" t="n">
        <v>56</v>
      </c>
      <c r="AC59" s="0" t="n">
        <f aca="false">VLOOKUP(S59, $K$3:$L$26, 2, 0)</f>
        <v>11</v>
      </c>
      <c r="AD59" s="0" t="n">
        <f aca="false">VLOOKUP(T59, $K$3:$L$26, 2, 0)</f>
        <v>9</v>
      </c>
      <c r="AE59" s="0" t="n">
        <f aca="false">VLOOKUP(U59, $K$3:$L$26, 2, 0)</f>
        <v>2</v>
      </c>
      <c r="AF59" s="0" t="n">
        <f aca="false">VLOOKUP(V59, $K$3:$L$26, 2, 0)</f>
        <v>4</v>
      </c>
      <c r="AG59" s="0" t="n">
        <f aca="false">VLOOKUP(W59, $K$3:$L$26, 2, 0)</f>
        <v>10</v>
      </c>
      <c r="AH59" s="0" t="n">
        <f aca="false">VLOOKUP(X59, $K$3:$L$26, 2, 0)</f>
        <v>0.1</v>
      </c>
      <c r="AI59" s="0" t="n">
        <f aca="false">VLOOKUP(Y59, $K$3:$L$26, 2, 0)</f>
        <v>1.1</v>
      </c>
      <c r="AK59" s="36" t="n">
        <v>45</v>
      </c>
      <c r="AL59" s="0" t="n">
        <v>0</v>
      </c>
      <c r="AM59" s="0" t="n">
        <v>0</v>
      </c>
      <c r="AN59" s="0" t="n">
        <v>0</v>
      </c>
      <c r="AO59" s="0" t="n">
        <v>1</v>
      </c>
      <c r="AP59" s="0" t="n">
        <v>1</v>
      </c>
      <c r="AQ59" s="0" t="n">
        <v>10</v>
      </c>
      <c r="AR59" s="0" t="n">
        <v>10</v>
      </c>
      <c r="AU59" s="37" t="n">
        <v>45</v>
      </c>
      <c r="AV59" s="38" t="n">
        <f aca="false">VLOOKUP(AL59, $L$3:$M$26, 2, 0)</f>
        <v>0</v>
      </c>
      <c r="AW59" s="38" t="n">
        <f aca="false">VLOOKUP(AM59, $L$3:$M$26, 2, 0)</f>
        <v>0</v>
      </c>
      <c r="AX59" s="38" t="n">
        <f aca="false">VLOOKUP(AN59, $L$3:$M$26, 2, 0)</f>
        <v>0</v>
      </c>
      <c r="AY59" s="38" t="n">
        <f aca="false">VLOOKUP(AO59, $L$3:$M$26, 2, 0)</f>
        <v>0.583333333333333</v>
      </c>
      <c r="AZ59" s="38" t="n">
        <f aca="false">VLOOKUP(AP59, $L$3:$M$26, 2, 0)</f>
        <v>0.583333333333333</v>
      </c>
      <c r="BA59" s="38" t="n">
        <f aca="false">VLOOKUP(AQ59, $L$3:$M$26, 2, 0)</f>
        <v>0.416666666666667</v>
      </c>
      <c r="BB59" s="38" t="n">
        <f aca="false">VLOOKUP(AR59, $L$3:$M$26, 2, 0)</f>
        <v>0.416666666666667</v>
      </c>
    </row>
    <row r="60" customFormat="false" ht="12.8" hidden="false" customHeight="false" outlineLevel="0" collapsed="false">
      <c r="R60" s="9" t="n">
        <f aca="false">R59+1</f>
        <v>57</v>
      </c>
      <c r="S60" s="0" t="n">
        <v>0.0833333333333333</v>
      </c>
      <c r="T60" s="0" t="n">
        <v>0.666666666666667</v>
      </c>
      <c r="U60" s="0" t="n">
        <v>0.25</v>
      </c>
      <c r="V60" s="0" t="n">
        <v>0.416666666666667</v>
      </c>
      <c r="W60" s="0" t="n">
        <v>0.416666666666667</v>
      </c>
      <c r="X60" s="0" t="n">
        <v>1</v>
      </c>
      <c r="Y60" s="0" t="n">
        <v>1.583</v>
      </c>
      <c r="AB60" s="0" t="n">
        <v>57</v>
      </c>
      <c r="AC60" s="0" t="n">
        <f aca="false">VLOOKUP(S60, $K$3:$L$26, 2, 0)</f>
        <v>11</v>
      </c>
      <c r="AD60" s="0" t="n">
        <f aca="false">VLOOKUP(T60, $K$3:$L$26, 2, 0)</f>
        <v>9</v>
      </c>
      <c r="AE60" s="0" t="n">
        <f aca="false">VLOOKUP(U60, $K$3:$L$26, 2, 0)</f>
        <v>2</v>
      </c>
      <c r="AF60" s="0" t="n">
        <f aca="false">VLOOKUP(V60, $K$3:$L$26, 2, 0)</f>
        <v>10</v>
      </c>
      <c r="AG60" s="0" t="n">
        <f aca="false">VLOOKUP(W60, $K$3:$L$26, 2, 0)</f>
        <v>10</v>
      </c>
      <c r="AH60" s="0" t="n">
        <f aca="false">VLOOKUP(X60, $K$3:$L$26, 2, 0)</f>
        <v>0.1</v>
      </c>
      <c r="AI60" s="0" t="n">
        <f aca="false">VLOOKUP(Y60, $K$3:$L$26, 2, 0)</f>
        <v>1.1</v>
      </c>
      <c r="AK60" s="36" t="n">
        <v>46</v>
      </c>
      <c r="AL60" s="0" t="n">
        <v>0</v>
      </c>
      <c r="AM60" s="0" t="n">
        <v>0</v>
      </c>
      <c r="AN60" s="0" t="n">
        <v>0</v>
      </c>
      <c r="AO60" s="0" t="n">
        <v>1</v>
      </c>
      <c r="AP60" s="0" t="n">
        <v>1</v>
      </c>
      <c r="AQ60" s="0" t="n">
        <v>10</v>
      </c>
      <c r="AR60" s="0" t="n">
        <v>10</v>
      </c>
      <c r="AU60" s="37" t="n">
        <v>46</v>
      </c>
      <c r="AV60" s="38" t="n">
        <f aca="false">VLOOKUP(AL60, $L$3:$M$26, 2, 0)</f>
        <v>0</v>
      </c>
      <c r="AW60" s="38" t="n">
        <f aca="false">VLOOKUP(AM60, $L$3:$M$26, 2, 0)</f>
        <v>0</v>
      </c>
      <c r="AX60" s="38" t="n">
        <f aca="false">VLOOKUP(AN60, $L$3:$M$26, 2, 0)</f>
        <v>0</v>
      </c>
      <c r="AY60" s="38" t="n">
        <f aca="false">VLOOKUP(AO60, $L$3:$M$26, 2, 0)</f>
        <v>0.583333333333333</v>
      </c>
      <c r="AZ60" s="38" t="n">
        <f aca="false">VLOOKUP(AP60, $L$3:$M$26, 2, 0)</f>
        <v>0.583333333333333</v>
      </c>
      <c r="BA60" s="38" t="n">
        <f aca="false">VLOOKUP(AQ60, $L$3:$M$26, 2, 0)</f>
        <v>0.416666666666667</v>
      </c>
      <c r="BB60" s="38" t="n">
        <f aca="false">VLOOKUP(AR60, $L$3:$M$26, 2, 0)</f>
        <v>0.416666666666667</v>
      </c>
    </row>
    <row r="61" customFormat="false" ht="12.8" hidden="false" customHeight="false" outlineLevel="0" collapsed="false">
      <c r="R61" s="9" t="n">
        <f aca="false">R60+1</f>
        <v>58</v>
      </c>
      <c r="S61" s="0" t="n">
        <v>0.0833333333333333</v>
      </c>
      <c r="T61" s="0" t="n">
        <v>0.666666666666667</v>
      </c>
      <c r="U61" s="0" t="n">
        <v>0.25</v>
      </c>
      <c r="V61" s="0" t="n">
        <v>0.416666666666667</v>
      </c>
      <c r="W61" s="0" t="n">
        <v>0.416666666666667</v>
      </c>
      <c r="X61" s="0" t="n">
        <v>1</v>
      </c>
      <c r="Y61" s="0" t="n">
        <v>1.583</v>
      </c>
      <c r="AB61" s="0" t="n">
        <v>58</v>
      </c>
      <c r="AC61" s="0" t="n">
        <f aca="false">VLOOKUP(S61, $K$3:$L$26, 2, 0)</f>
        <v>11</v>
      </c>
      <c r="AD61" s="0" t="n">
        <f aca="false">VLOOKUP(T61, $K$3:$L$26, 2, 0)</f>
        <v>9</v>
      </c>
      <c r="AE61" s="0" t="n">
        <f aca="false">VLOOKUP(U61, $K$3:$L$26, 2, 0)</f>
        <v>2</v>
      </c>
      <c r="AF61" s="0" t="n">
        <f aca="false">VLOOKUP(V61, $K$3:$L$26, 2, 0)</f>
        <v>10</v>
      </c>
      <c r="AG61" s="0" t="n">
        <f aca="false">VLOOKUP(W61, $K$3:$L$26, 2, 0)</f>
        <v>10</v>
      </c>
      <c r="AH61" s="0" t="n">
        <f aca="false">VLOOKUP(X61, $K$3:$L$26, 2, 0)</f>
        <v>0.1</v>
      </c>
      <c r="AI61" s="0" t="n">
        <f aca="false">VLOOKUP(Y61, $K$3:$L$26, 2, 0)</f>
        <v>1.1</v>
      </c>
      <c r="AK61" s="36" t="n">
        <v>47</v>
      </c>
      <c r="AL61" s="0" t="n">
        <v>0</v>
      </c>
      <c r="AM61" s="0" t="n">
        <v>0</v>
      </c>
      <c r="AN61" s="0" t="n">
        <v>1</v>
      </c>
      <c r="AO61" s="0" t="n">
        <v>4</v>
      </c>
      <c r="AP61" s="0" t="n">
        <v>4</v>
      </c>
      <c r="AQ61" s="0" t="n">
        <v>10</v>
      </c>
      <c r="AR61" s="0" t="n">
        <v>10</v>
      </c>
      <c r="AU61" s="37" t="n">
        <v>47</v>
      </c>
      <c r="AV61" s="38" t="n">
        <f aca="false">VLOOKUP(AL61, $L$3:$M$26, 2, 0)</f>
        <v>0</v>
      </c>
      <c r="AW61" s="38" t="n">
        <f aca="false">VLOOKUP(AM61, $L$3:$M$26, 2, 0)</f>
        <v>0</v>
      </c>
      <c r="AX61" s="38" t="n">
        <f aca="false">VLOOKUP(AN61, $L$3:$M$26, 2, 0)</f>
        <v>0.583333333333333</v>
      </c>
      <c r="AY61" s="38" t="n">
        <f aca="false">VLOOKUP(AO61, $L$3:$M$26, 2, 0)</f>
        <v>0.833333333333333</v>
      </c>
      <c r="AZ61" s="38" t="n">
        <f aca="false">VLOOKUP(AP61, $L$3:$M$26, 2, 0)</f>
        <v>0.833333333333333</v>
      </c>
      <c r="BA61" s="38" t="n">
        <f aca="false">VLOOKUP(AQ61, $L$3:$M$26, 2, 0)</f>
        <v>0.416666666666667</v>
      </c>
      <c r="BB61" s="38" t="n">
        <f aca="false">VLOOKUP(AR61, $L$3:$M$26, 2, 0)</f>
        <v>0.416666666666667</v>
      </c>
    </row>
    <row r="62" customFormat="false" ht="12.8" hidden="false" customHeight="false" outlineLevel="0" collapsed="false">
      <c r="R62" s="9" t="n">
        <f aca="false">R61+1</f>
        <v>59</v>
      </c>
      <c r="S62" s="0" t="n">
        <v>0.416666666666667</v>
      </c>
      <c r="T62" s="0" t="n">
        <v>0.416666666666667</v>
      </c>
      <c r="U62" s="0" t="n">
        <v>0.416666666666667</v>
      </c>
      <c r="V62" s="0" t="n">
        <v>0.416666666666667</v>
      </c>
      <c r="W62" s="0" t="n">
        <v>0</v>
      </c>
      <c r="X62" s="0" t="n">
        <v>0</v>
      </c>
      <c r="Y62" s="0" t="n">
        <v>0</v>
      </c>
      <c r="AB62" s="0" t="n">
        <v>59</v>
      </c>
      <c r="AC62" s="0" t="n">
        <f aca="false">VLOOKUP(S62, $K$3:$L$26, 2, 0)</f>
        <v>10</v>
      </c>
      <c r="AD62" s="0" t="n">
        <f aca="false">VLOOKUP(T62, $K$3:$L$26, 2, 0)</f>
        <v>10</v>
      </c>
      <c r="AE62" s="0" t="n">
        <f aca="false">VLOOKUP(U62, $K$3:$L$26, 2, 0)</f>
        <v>10</v>
      </c>
      <c r="AF62" s="0" t="n">
        <f aca="false">VLOOKUP(V62, $K$3:$L$26, 2, 0)</f>
        <v>10</v>
      </c>
      <c r="AG62" s="0" t="n">
        <f aca="false">VLOOKUP(W62, $K$3:$L$26, 2, 0)</f>
        <v>0</v>
      </c>
      <c r="AH62" s="0" t="n">
        <f aca="false">VLOOKUP(X62, $K$3:$L$26, 2, 0)</f>
        <v>0</v>
      </c>
      <c r="AI62" s="0" t="n">
        <f aca="false">VLOOKUP(Y62, $K$3:$L$26, 2, 0)</f>
        <v>0</v>
      </c>
      <c r="AK62" s="36" t="n">
        <v>48</v>
      </c>
      <c r="AL62" s="0" t="n">
        <v>0</v>
      </c>
      <c r="AM62" s="0" t="n">
        <v>0</v>
      </c>
      <c r="AN62" s="0" t="n">
        <v>1</v>
      </c>
      <c r="AO62" s="0" t="n">
        <v>4</v>
      </c>
      <c r="AP62" s="0" t="n">
        <v>4</v>
      </c>
      <c r="AQ62" s="0" t="n">
        <v>10</v>
      </c>
      <c r="AR62" s="0" t="n">
        <v>10</v>
      </c>
      <c r="AU62" s="37" t="n">
        <v>48</v>
      </c>
      <c r="AV62" s="38" t="n">
        <f aca="false">VLOOKUP(AL62, $L$3:$M$26, 2, 0)</f>
        <v>0</v>
      </c>
      <c r="AW62" s="38" t="n">
        <f aca="false">VLOOKUP(AM62, $L$3:$M$26, 2, 0)</f>
        <v>0</v>
      </c>
      <c r="AX62" s="38" t="n">
        <f aca="false">VLOOKUP(AN62, $L$3:$M$26, 2, 0)</f>
        <v>0.583333333333333</v>
      </c>
      <c r="AY62" s="38" t="n">
        <f aca="false">VLOOKUP(AO62, $L$3:$M$26, 2, 0)</f>
        <v>0.833333333333333</v>
      </c>
      <c r="AZ62" s="38" t="n">
        <f aca="false">VLOOKUP(AP62, $L$3:$M$26, 2, 0)</f>
        <v>0.833333333333333</v>
      </c>
      <c r="BA62" s="38" t="n">
        <f aca="false">VLOOKUP(AQ62, $L$3:$M$26, 2, 0)</f>
        <v>0.416666666666667</v>
      </c>
      <c r="BB62" s="38" t="n">
        <f aca="false">VLOOKUP(AR62, $L$3:$M$26, 2, 0)</f>
        <v>0.416666666666667</v>
      </c>
    </row>
    <row r="63" customFormat="false" ht="12.8" hidden="false" customHeight="false" outlineLevel="0" collapsed="false">
      <c r="R63" s="9" t="n">
        <f aca="false">R62+1</f>
        <v>60</v>
      </c>
      <c r="S63" s="0" t="n">
        <v>0.416666666666667</v>
      </c>
      <c r="T63" s="0" t="n">
        <v>0.416666666666667</v>
      </c>
      <c r="U63" s="0" t="n">
        <v>0.416666666666667</v>
      </c>
      <c r="V63" s="0" t="n">
        <v>0.416666666666667</v>
      </c>
      <c r="W63" s="0" t="n">
        <v>0</v>
      </c>
      <c r="X63" s="0" t="n">
        <v>0</v>
      </c>
      <c r="Y63" s="0" t="n">
        <v>0</v>
      </c>
      <c r="AB63" s="0" t="n">
        <v>60</v>
      </c>
      <c r="AC63" s="0" t="n">
        <f aca="false">VLOOKUP(S63, $K$3:$L$26, 2, 0)</f>
        <v>10</v>
      </c>
      <c r="AD63" s="0" t="n">
        <f aca="false">VLOOKUP(T63, $K$3:$L$26, 2, 0)</f>
        <v>10</v>
      </c>
      <c r="AE63" s="0" t="n">
        <f aca="false">VLOOKUP(U63, $K$3:$L$26, 2, 0)</f>
        <v>10</v>
      </c>
      <c r="AF63" s="0" t="n">
        <f aca="false">VLOOKUP(V63, $K$3:$L$26, 2, 0)</f>
        <v>10</v>
      </c>
      <c r="AG63" s="0" t="n">
        <f aca="false">VLOOKUP(W63, $K$3:$L$26, 2, 0)</f>
        <v>0</v>
      </c>
      <c r="AH63" s="0" t="n">
        <f aca="false">VLOOKUP(X63, $K$3:$L$26, 2, 0)</f>
        <v>0</v>
      </c>
      <c r="AI63" s="0" t="n">
        <f aca="false">VLOOKUP(Y63, $K$3:$L$26, 2, 0)</f>
        <v>0</v>
      </c>
      <c r="AK63" s="36" t="n">
        <v>49</v>
      </c>
      <c r="AL63" s="0" t="n">
        <v>0</v>
      </c>
      <c r="AM63" s="0" t="n">
        <v>0</v>
      </c>
      <c r="AN63" s="0" t="n">
        <v>1</v>
      </c>
      <c r="AO63" s="0" t="n">
        <v>2</v>
      </c>
      <c r="AP63" s="0" t="n">
        <v>4</v>
      </c>
      <c r="AQ63" s="0" t="n">
        <v>4</v>
      </c>
      <c r="AR63" s="0" t="n">
        <v>10</v>
      </c>
      <c r="AU63" s="37" t="n">
        <v>49</v>
      </c>
      <c r="AV63" s="38" t="n">
        <f aca="false">VLOOKUP(AL63, $L$3:$M$26, 2, 0)</f>
        <v>0</v>
      </c>
      <c r="AW63" s="38" t="n">
        <f aca="false">VLOOKUP(AM63, $L$3:$M$26, 2, 0)</f>
        <v>0</v>
      </c>
      <c r="AX63" s="38" t="n">
        <f aca="false">VLOOKUP(AN63, $L$3:$M$26, 2, 0)</f>
        <v>0.583333333333333</v>
      </c>
      <c r="AY63" s="38" t="n">
        <f aca="false">VLOOKUP(AO63, $L$3:$M$26, 2, 0)</f>
        <v>0.25</v>
      </c>
      <c r="AZ63" s="38" t="n">
        <f aca="false">VLOOKUP(AP63, $L$3:$M$26, 2, 0)</f>
        <v>0.833333333333333</v>
      </c>
      <c r="BA63" s="38" t="n">
        <f aca="false">VLOOKUP(AQ63, $L$3:$M$26, 2, 0)</f>
        <v>0.833333333333333</v>
      </c>
      <c r="BB63" s="38" t="n">
        <f aca="false">VLOOKUP(AR63, $L$3:$M$26, 2, 0)</f>
        <v>0.416666666666667</v>
      </c>
    </row>
    <row r="64" customFormat="false" ht="12.8" hidden="false" customHeight="false" outlineLevel="0" collapsed="false">
      <c r="R64" s="9" t="n">
        <f aca="false">R63+1</f>
        <v>61</v>
      </c>
      <c r="S64" s="0" t="n">
        <v>0.833333333333333</v>
      </c>
      <c r="T64" s="0" t="n">
        <v>0.833333333333333</v>
      </c>
      <c r="U64" s="0" t="n">
        <v>0.416666666666667</v>
      </c>
      <c r="V64" s="0" t="n">
        <v>0.416666666666667</v>
      </c>
      <c r="W64" s="0" t="n">
        <v>0.416666666666667</v>
      </c>
      <c r="X64" s="0" t="n">
        <v>0</v>
      </c>
      <c r="Y64" s="0" t="n">
        <v>0</v>
      </c>
      <c r="AB64" s="0" t="n">
        <v>61</v>
      </c>
      <c r="AC64" s="0" t="n">
        <f aca="false">VLOOKUP(S64, $K$3:$L$26, 2, 0)</f>
        <v>4</v>
      </c>
      <c r="AD64" s="0" t="n">
        <f aca="false">VLOOKUP(T64, $K$3:$L$26, 2, 0)</f>
        <v>4</v>
      </c>
      <c r="AE64" s="0" t="n">
        <f aca="false">VLOOKUP(U64, $K$3:$L$26, 2, 0)</f>
        <v>10</v>
      </c>
      <c r="AF64" s="0" t="n">
        <f aca="false">VLOOKUP(V64, $K$3:$L$26, 2, 0)</f>
        <v>10</v>
      </c>
      <c r="AG64" s="0" t="n">
        <f aca="false">VLOOKUP(W64, $K$3:$L$26, 2, 0)</f>
        <v>10</v>
      </c>
      <c r="AH64" s="0" t="n">
        <f aca="false">VLOOKUP(X64, $K$3:$L$26, 2, 0)</f>
        <v>0</v>
      </c>
      <c r="AI64" s="0" t="n">
        <f aca="false">VLOOKUP(Y64, $K$3:$L$26, 2, 0)</f>
        <v>0</v>
      </c>
      <c r="AK64" s="36" t="n">
        <v>50</v>
      </c>
      <c r="AL64" s="0" t="n">
        <v>0</v>
      </c>
      <c r="AM64" s="0" t="n">
        <v>0</v>
      </c>
      <c r="AN64" s="0" t="n">
        <v>1</v>
      </c>
      <c r="AO64" s="0" t="n">
        <v>2</v>
      </c>
      <c r="AP64" s="0" t="n">
        <v>4</v>
      </c>
      <c r="AQ64" s="0" t="n">
        <v>4</v>
      </c>
      <c r="AR64" s="0" t="n">
        <v>10</v>
      </c>
      <c r="AU64" s="37" t="n">
        <v>50</v>
      </c>
      <c r="AV64" s="38" t="n">
        <f aca="false">VLOOKUP(AL64, $L$3:$M$26, 2, 0)</f>
        <v>0</v>
      </c>
      <c r="AW64" s="38" t="n">
        <f aca="false">VLOOKUP(AM64, $L$3:$M$26, 2, 0)</f>
        <v>0</v>
      </c>
      <c r="AX64" s="38" t="n">
        <f aca="false">VLOOKUP(AN64, $L$3:$M$26, 2, 0)</f>
        <v>0.583333333333333</v>
      </c>
      <c r="AY64" s="38" t="n">
        <f aca="false">VLOOKUP(AO64, $L$3:$M$26, 2, 0)</f>
        <v>0.25</v>
      </c>
      <c r="AZ64" s="38" t="n">
        <f aca="false">VLOOKUP(AP64, $L$3:$M$26, 2, 0)</f>
        <v>0.833333333333333</v>
      </c>
      <c r="BA64" s="38" t="n">
        <f aca="false">VLOOKUP(AQ64, $L$3:$M$26, 2, 0)</f>
        <v>0.833333333333333</v>
      </c>
      <c r="BB64" s="38" t="n">
        <f aca="false">VLOOKUP(AR64, $L$3:$M$26, 2, 0)</f>
        <v>0.416666666666667</v>
      </c>
    </row>
    <row r="65" customFormat="false" ht="12.8" hidden="false" customHeight="false" outlineLevel="0" collapsed="false">
      <c r="R65" s="9" t="n">
        <f aca="false">R64+1</f>
        <v>62</v>
      </c>
      <c r="S65" s="0" t="n">
        <v>0.833333333333333</v>
      </c>
      <c r="T65" s="0" t="n">
        <v>0.833333333333333</v>
      </c>
      <c r="U65" s="0" t="n">
        <v>0.416666666666667</v>
      </c>
      <c r="V65" s="0" t="n">
        <v>0.416666666666667</v>
      </c>
      <c r="W65" s="0" t="n">
        <v>0.416666666666667</v>
      </c>
      <c r="X65" s="0" t="n">
        <v>0</v>
      </c>
      <c r="Y65" s="0" t="n">
        <v>0</v>
      </c>
      <c r="AB65" s="0" t="n">
        <v>62</v>
      </c>
      <c r="AC65" s="0" t="n">
        <f aca="false">VLOOKUP(S65, $K$3:$L$26, 2, 0)</f>
        <v>4</v>
      </c>
      <c r="AD65" s="0" t="n">
        <f aca="false">VLOOKUP(T65, $K$3:$L$26, 2, 0)</f>
        <v>4</v>
      </c>
      <c r="AE65" s="0" t="n">
        <f aca="false">VLOOKUP(U65, $K$3:$L$26, 2, 0)</f>
        <v>10</v>
      </c>
      <c r="AF65" s="0" t="n">
        <f aca="false">VLOOKUP(V65, $K$3:$L$26, 2, 0)</f>
        <v>10</v>
      </c>
      <c r="AG65" s="0" t="n">
        <f aca="false">VLOOKUP(W65, $K$3:$L$26, 2, 0)</f>
        <v>10</v>
      </c>
      <c r="AH65" s="0" t="n">
        <f aca="false">VLOOKUP(X65, $K$3:$L$26, 2, 0)</f>
        <v>0</v>
      </c>
      <c r="AI65" s="0" t="n">
        <f aca="false">VLOOKUP(Y65, $K$3:$L$26, 2, 0)</f>
        <v>0</v>
      </c>
      <c r="AK65" s="36" t="n">
        <v>51</v>
      </c>
      <c r="AL65" s="0" t="n">
        <v>0</v>
      </c>
      <c r="AM65" s="0" t="n">
        <v>1.1</v>
      </c>
      <c r="AN65" s="0" t="n">
        <v>1.1</v>
      </c>
      <c r="AO65" s="0" t="n">
        <v>2</v>
      </c>
      <c r="AP65" s="0" t="n">
        <v>4</v>
      </c>
      <c r="AQ65" s="0" t="n">
        <v>9</v>
      </c>
      <c r="AR65" s="0" t="n">
        <v>10</v>
      </c>
      <c r="AU65" s="37" t="n">
        <v>51</v>
      </c>
      <c r="AV65" s="38" t="n">
        <f aca="false">VLOOKUP(AL65, $L$3:$M$26, 2, 0)</f>
        <v>0</v>
      </c>
      <c r="AW65" s="38" t="n">
        <f aca="false">VLOOKUP(AM65, $L$3:$M$26, 2, 0)</f>
        <v>1.583</v>
      </c>
      <c r="AX65" s="38" t="n">
        <f aca="false">VLOOKUP(AN65, $L$3:$M$26, 2, 0)</f>
        <v>1.583</v>
      </c>
      <c r="AY65" s="38" t="n">
        <f aca="false">VLOOKUP(AO65, $L$3:$M$26, 2, 0)</f>
        <v>0.25</v>
      </c>
      <c r="AZ65" s="38" t="n">
        <f aca="false">VLOOKUP(AP65, $L$3:$M$26, 2, 0)</f>
        <v>0.833333333333333</v>
      </c>
      <c r="BA65" s="38" t="n">
        <f aca="false">VLOOKUP(AQ65, $L$3:$M$26, 2, 0)</f>
        <v>0.666666666666667</v>
      </c>
      <c r="BB65" s="38" t="n">
        <f aca="false">VLOOKUP(AR65, $L$3:$M$26, 2, 0)</f>
        <v>0.416666666666667</v>
      </c>
    </row>
    <row r="66" customFormat="false" ht="12.8" hidden="false" customHeight="false" outlineLevel="0" collapsed="false">
      <c r="R66" s="9" t="n">
        <f aca="false">R65+1</f>
        <v>63</v>
      </c>
      <c r="S66" s="0" t="n">
        <v>0.25</v>
      </c>
      <c r="T66" s="0" t="n">
        <v>0.25</v>
      </c>
      <c r="U66" s="0" t="n">
        <v>0.833333333333333</v>
      </c>
      <c r="V66" s="0" t="n">
        <v>0.833333333333333</v>
      </c>
      <c r="W66" s="0" t="n">
        <v>0.416666666666667</v>
      </c>
      <c r="X66" s="0" t="n">
        <v>0.416666666666667</v>
      </c>
      <c r="Y66" s="0" t="n">
        <v>0</v>
      </c>
      <c r="AB66" s="0" t="n">
        <v>63</v>
      </c>
      <c r="AC66" s="0" t="n">
        <f aca="false">VLOOKUP(S66, $K$3:$L$26, 2, 0)</f>
        <v>2</v>
      </c>
      <c r="AD66" s="0" t="n">
        <f aca="false">VLOOKUP(T66, $K$3:$L$26, 2, 0)</f>
        <v>2</v>
      </c>
      <c r="AE66" s="0" t="n">
        <f aca="false">VLOOKUP(U66, $K$3:$L$26, 2, 0)</f>
        <v>4</v>
      </c>
      <c r="AF66" s="0" t="n">
        <f aca="false">VLOOKUP(V66, $K$3:$L$26, 2, 0)</f>
        <v>4</v>
      </c>
      <c r="AG66" s="0" t="n">
        <f aca="false">VLOOKUP(W66, $K$3:$L$26, 2, 0)</f>
        <v>10</v>
      </c>
      <c r="AH66" s="0" t="n">
        <f aca="false">VLOOKUP(X66, $K$3:$L$26, 2, 0)</f>
        <v>10</v>
      </c>
      <c r="AI66" s="0" t="n">
        <f aca="false">VLOOKUP(Y66, $K$3:$L$26, 2, 0)</f>
        <v>0</v>
      </c>
      <c r="AK66" s="36" t="n">
        <v>52</v>
      </c>
      <c r="AL66" s="0" t="n">
        <v>0</v>
      </c>
      <c r="AM66" s="0" t="n">
        <v>1.1</v>
      </c>
      <c r="AN66" s="0" t="n">
        <v>1.1</v>
      </c>
      <c r="AO66" s="0" t="n">
        <v>2</v>
      </c>
      <c r="AP66" s="0" t="n">
        <v>4</v>
      </c>
      <c r="AQ66" s="0" t="n">
        <v>9</v>
      </c>
      <c r="AR66" s="0" t="n">
        <v>10</v>
      </c>
      <c r="AU66" s="37" t="n">
        <v>52</v>
      </c>
      <c r="AV66" s="38" t="n">
        <f aca="false">VLOOKUP(AL66, $L$3:$M$26, 2, 0)</f>
        <v>0</v>
      </c>
      <c r="AW66" s="38" t="n">
        <f aca="false">VLOOKUP(AM66, $L$3:$M$26, 2, 0)</f>
        <v>1.583</v>
      </c>
      <c r="AX66" s="38" t="n">
        <f aca="false">VLOOKUP(AN66, $L$3:$M$26, 2, 0)</f>
        <v>1.583</v>
      </c>
      <c r="AY66" s="38" t="n">
        <f aca="false">VLOOKUP(AO66, $L$3:$M$26, 2, 0)</f>
        <v>0.25</v>
      </c>
      <c r="AZ66" s="38" t="n">
        <f aca="false">VLOOKUP(AP66, $L$3:$M$26, 2, 0)</f>
        <v>0.833333333333333</v>
      </c>
      <c r="BA66" s="38" t="n">
        <f aca="false">VLOOKUP(AQ66, $L$3:$M$26, 2, 0)</f>
        <v>0.666666666666667</v>
      </c>
      <c r="BB66" s="38" t="n">
        <f aca="false">VLOOKUP(AR66, $L$3:$M$26, 2, 0)</f>
        <v>0.416666666666667</v>
      </c>
    </row>
    <row r="67" customFormat="false" ht="12.8" hidden="false" customHeight="false" outlineLevel="0" collapsed="false">
      <c r="R67" s="9" t="n">
        <f aca="false">R66+1</f>
        <v>64</v>
      </c>
      <c r="S67" s="0" t="n">
        <v>0.25</v>
      </c>
      <c r="T67" s="0" t="n">
        <v>0.25</v>
      </c>
      <c r="U67" s="0" t="n">
        <v>0.833333333333333</v>
      </c>
      <c r="V67" s="0" t="n">
        <v>0.833333333333333</v>
      </c>
      <c r="W67" s="0" t="n">
        <v>0.416666666666667</v>
      </c>
      <c r="X67" s="0" t="n">
        <v>0.416666666666667</v>
      </c>
      <c r="Y67" s="0" t="n">
        <v>0</v>
      </c>
      <c r="AB67" s="0" t="n">
        <v>64</v>
      </c>
      <c r="AC67" s="0" t="n">
        <f aca="false">VLOOKUP(S67, $K$3:$L$26, 2, 0)</f>
        <v>2</v>
      </c>
      <c r="AD67" s="0" t="n">
        <f aca="false">VLOOKUP(T67, $K$3:$L$26, 2, 0)</f>
        <v>2</v>
      </c>
      <c r="AE67" s="0" t="n">
        <f aca="false">VLOOKUP(U67, $K$3:$L$26, 2, 0)</f>
        <v>4</v>
      </c>
      <c r="AF67" s="0" t="n">
        <f aca="false">VLOOKUP(V67, $K$3:$L$26, 2, 0)</f>
        <v>4</v>
      </c>
      <c r="AG67" s="0" t="n">
        <f aca="false">VLOOKUP(W67, $K$3:$L$26, 2, 0)</f>
        <v>10</v>
      </c>
      <c r="AH67" s="0" t="n">
        <f aca="false">VLOOKUP(X67, $K$3:$L$26, 2, 0)</f>
        <v>10</v>
      </c>
      <c r="AI67" s="0" t="n">
        <f aca="false">VLOOKUP(Y67, $K$3:$L$26, 2, 0)</f>
        <v>0</v>
      </c>
      <c r="AK67" s="36" t="n">
        <v>53</v>
      </c>
      <c r="AL67" s="0" t="n">
        <v>0</v>
      </c>
      <c r="AM67" s="0" t="n">
        <v>0</v>
      </c>
      <c r="AN67" s="0" t="n">
        <v>1.1</v>
      </c>
      <c r="AO67" s="0" t="n">
        <v>2</v>
      </c>
      <c r="AP67" s="0" t="n">
        <v>2</v>
      </c>
      <c r="AQ67" s="0" t="n">
        <v>9</v>
      </c>
      <c r="AR67" s="0" t="n">
        <v>9</v>
      </c>
      <c r="AU67" s="37" t="n">
        <v>53</v>
      </c>
      <c r="AV67" s="38" t="n">
        <f aca="false">VLOOKUP(AL67, $L$3:$M$26, 2, 0)</f>
        <v>0</v>
      </c>
      <c r="AW67" s="38" t="n">
        <f aca="false">VLOOKUP(AM67, $L$3:$M$26, 2, 0)</f>
        <v>0</v>
      </c>
      <c r="AX67" s="38" t="n">
        <f aca="false">VLOOKUP(AN67, $L$3:$M$26, 2, 0)</f>
        <v>1.583</v>
      </c>
      <c r="AY67" s="38" t="n">
        <f aca="false">VLOOKUP(AO67, $L$3:$M$26, 2, 0)</f>
        <v>0.25</v>
      </c>
      <c r="AZ67" s="38" t="n">
        <f aca="false">VLOOKUP(AP67, $L$3:$M$26, 2, 0)</f>
        <v>0.25</v>
      </c>
      <c r="BA67" s="38" t="n">
        <f aca="false">VLOOKUP(AQ67, $L$3:$M$26, 2, 0)</f>
        <v>0.666666666666667</v>
      </c>
      <c r="BB67" s="38" t="n">
        <f aca="false">VLOOKUP(AR67, $L$3:$M$26, 2, 0)</f>
        <v>0.666666666666667</v>
      </c>
    </row>
    <row r="68" customFormat="false" ht="12.8" hidden="false" customHeight="false" outlineLevel="0" collapsed="false">
      <c r="R68" s="9" t="n">
        <f aca="false">R67+1</f>
        <v>65</v>
      </c>
      <c r="S68" s="0" t="n">
        <v>0.666666666666667</v>
      </c>
      <c r="T68" s="0" t="n">
        <v>0.25</v>
      </c>
      <c r="U68" s="0" t="n">
        <v>0.25</v>
      </c>
      <c r="V68" s="0" t="n">
        <v>0.833333333333333</v>
      </c>
      <c r="W68" s="0" t="n">
        <v>0.416666666666667</v>
      </c>
      <c r="X68" s="0" t="n">
        <v>0.416666666666667</v>
      </c>
      <c r="Y68" s="0" t="n">
        <v>0</v>
      </c>
      <c r="AB68" s="0" t="n">
        <v>65</v>
      </c>
      <c r="AC68" s="0" t="n">
        <f aca="false">VLOOKUP(S68, $K$3:$L$26, 2, 0)</f>
        <v>9</v>
      </c>
      <c r="AD68" s="0" t="n">
        <f aca="false">VLOOKUP(T68, $K$3:$L$26, 2, 0)</f>
        <v>2</v>
      </c>
      <c r="AE68" s="0" t="n">
        <f aca="false">VLOOKUP(U68, $K$3:$L$26, 2, 0)</f>
        <v>2</v>
      </c>
      <c r="AF68" s="0" t="n">
        <f aca="false">VLOOKUP(V68, $K$3:$L$26, 2, 0)</f>
        <v>4</v>
      </c>
      <c r="AG68" s="0" t="n">
        <f aca="false">VLOOKUP(W68, $K$3:$L$26, 2, 0)</f>
        <v>10</v>
      </c>
      <c r="AH68" s="0" t="n">
        <f aca="false">VLOOKUP(X68, $K$3:$L$26, 2, 0)</f>
        <v>10</v>
      </c>
      <c r="AI68" s="0" t="n">
        <f aca="false">VLOOKUP(Y68, $K$3:$L$26, 2, 0)</f>
        <v>0</v>
      </c>
      <c r="AK68" s="36" t="n">
        <v>54</v>
      </c>
      <c r="AL68" s="0" t="n">
        <v>0</v>
      </c>
      <c r="AM68" s="0" t="n">
        <v>0</v>
      </c>
      <c r="AN68" s="0" t="n">
        <v>1.1</v>
      </c>
      <c r="AO68" s="0" t="n">
        <v>2</v>
      </c>
      <c r="AP68" s="0" t="n">
        <v>2</v>
      </c>
      <c r="AQ68" s="0" t="n">
        <v>9</v>
      </c>
      <c r="AR68" s="0" t="n">
        <v>9</v>
      </c>
      <c r="AU68" s="37" t="n">
        <v>54</v>
      </c>
      <c r="AV68" s="38" t="n">
        <f aca="false">VLOOKUP(AL68, $L$3:$M$26, 2, 0)</f>
        <v>0</v>
      </c>
      <c r="AW68" s="38" t="n">
        <f aca="false">VLOOKUP(AM68, $L$3:$M$26, 2, 0)</f>
        <v>0</v>
      </c>
      <c r="AX68" s="38" t="n">
        <f aca="false">VLOOKUP(AN68, $L$3:$M$26, 2, 0)</f>
        <v>1.583</v>
      </c>
      <c r="AY68" s="38" t="n">
        <f aca="false">VLOOKUP(AO68, $L$3:$M$26, 2, 0)</f>
        <v>0.25</v>
      </c>
      <c r="AZ68" s="38" t="n">
        <f aca="false">VLOOKUP(AP68, $L$3:$M$26, 2, 0)</f>
        <v>0.25</v>
      </c>
      <c r="BA68" s="38" t="n">
        <f aca="false">VLOOKUP(AQ68, $L$3:$M$26, 2, 0)</f>
        <v>0.666666666666667</v>
      </c>
      <c r="BB68" s="38" t="n">
        <f aca="false">VLOOKUP(AR68, $L$3:$M$26, 2, 0)</f>
        <v>0.666666666666667</v>
      </c>
    </row>
    <row r="69" customFormat="false" ht="12.8" hidden="false" customHeight="false" outlineLevel="0" collapsed="false">
      <c r="R69" s="9" t="n">
        <f aca="false">R68+1</f>
        <v>66</v>
      </c>
      <c r="S69" s="0" t="n">
        <v>0.666666666666667</v>
      </c>
      <c r="T69" s="0" t="n">
        <v>0.25</v>
      </c>
      <c r="U69" s="0" t="n">
        <v>0.25</v>
      </c>
      <c r="V69" s="0" t="n">
        <v>0.833333333333333</v>
      </c>
      <c r="W69" s="0" t="n">
        <v>0.416666666666667</v>
      </c>
      <c r="X69" s="0" t="n">
        <v>0.416666666666667</v>
      </c>
      <c r="Y69" s="0" t="n">
        <v>0</v>
      </c>
      <c r="AB69" s="0" t="n">
        <v>66</v>
      </c>
      <c r="AC69" s="0" t="n">
        <f aca="false">VLOOKUP(S69, $K$3:$L$26, 2, 0)</f>
        <v>9</v>
      </c>
      <c r="AD69" s="0" t="n">
        <f aca="false">VLOOKUP(T69, $K$3:$L$26, 2, 0)</f>
        <v>2</v>
      </c>
      <c r="AE69" s="0" t="n">
        <f aca="false">VLOOKUP(U69, $K$3:$L$26, 2, 0)</f>
        <v>2</v>
      </c>
      <c r="AF69" s="0" t="n">
        <f aca="false">VLOOKUP(V69, $K$3:$L$26, 2, 0)</f>
        <v>4</v>
      </c>
      <c r="AG69" s="0" t="n">
        <f aca="false">VLOOKUP(W69, $K$3:$L$26, 2, 0)</f>
        <v>10</v>
      </c>
      <c r="AH69" s="0" t="n">
        <f aca="false">VLOOKUP(X69, $K$3:$L$26, 2, 0)</f>
        <v>10</v>
      </c>
      <c r="AI69" s="0" t="n">
        <f aca="false">VLOOKUP(Y69, $K$3:$L$26, 2, 0)</f>
        <v>0</v>
      </c>
      <c r="AK69" s="36" t="n">
        <v>55</v>
      </c>
      <c r="AL69" s="0" t="n">
        <v>0.1</v>
      </c>
      <c r="AM69" s="0" t="n">
        <v>1.1</v>
      </c>
      <c r="AN69" s="0" t="n">
        <v>2</v>
      </c>
      <c r="AO69" s="0" t="n">
        <v>4</v>
      </c>
      <c r="AP69" s="0" t="n">
        <v>9</v>
      </c>
      <c r="AQ69" s="0" t="n">
        <v>10</v>
      </c>
      <c r="AR69" s="0" t="n">
        <v>11</v>
      </c>
      <c r="AU69" s="37" t="n">
        <v>55</v>
      </c>
      <c r="AV69" s="38" t="n">
        <f aca="false">VLOOKUP(AL69, $L$3:$M$26, 2, 0)</f>
        <v>1</v>
      </c>
      <c r="AW69" s="38" t="n">
        <f aca="false">VLOOKUP(AM69, $L$3:$M$26, 2, 0)</f>
        <v>1.583</v>
      </c>
      <c r="AX69" s="38" t="n">
        <f aca="false">VLOOKUP(AN69, $L$3:$M$26, 2, 0)</f>
        <v>0.25</v>
      </c>
      <c r="AY69" s="38" t="n">
        <f aca="false">VLOOKUP(AO69, $L$3:$M$26, 2, 0)</f>
        <v>0.833333333333333</v>
      </c>
      <c r="AZ69" s="38" t="n">
        <f aca="false">VLOOKUP(AP69, $L$3:$M$26, 2, 0)</f>
        <v>0.666666666666667</v>
      </c>
      <c r="BA69" s="38" t="n">
        <f aca="false">VLOOKUP(AQ69, $L$3:$M$26, 2, 0)</f>
        <v>0.416666666666667</v>
      </c>
      <c r="BB69" s="38" t="n">
        <f aca="false">VLOOKUP(AR69, $L$3:$M$26, 2, 0)</f>
        <v>0.0833333333333333</v>
      </c>
    </row>
    <row r="70" customFormat="false" ht="12.8" hidden="false" customHeight="false" outlineLevel="0" collapsed="false">
      <c r="R70" s="9" t="n">
        <f aca="false">R69+1</f>
        <v>67</v>
      </c>
      <c r="S70" s="0" t="n">
        <v>0.0833333333333333</v>
      </c>
      <c r="T70" s="0" t="n">
        <v>0.666666666666667</v>
      </c>
      <c r="U70" s="0" t="n">
        <v>0.25</v>
      </c>
      <c r="V70" s="0" t="n">
        <v>0.833333333333333</v>
      </c>
      <c r="W70" s="0" t="n">
        <v>0.416666666666667</v>
      </c>
      <c r="X70" s="0" t="n">
        <v>0.416666666666667</v>
      </c>
      <c r="Y70" s="0" t="n">
        <v>1</v>
      </c>
      <c r="AB70" s="0" t="n">
        <v>67</v>
      </c>
      <c r="AC70" s="0" t="n">
        <f aca="false">VLOOKUP(S70, $K$3:$L$26, 2, 0)</f>
        <v>11</v>
      </c>
      <c r="AD70" s="0" t="n">
        <f aca="false">VLOOKUP(T70, $K$3:$L$26, 2, 0)</f>
        <v>9</v>
      </c>
      <c r="AE70" s="0" t="n">
        <f aca="false">VLOOKUP(U70, $K$3:$L$26, 2, 0)</f>
        <v>2</v>
      </c>
      <c r="AF70" s="0" t="n">
        <f aca="false">VLOOKUP(V70, $K$3:$L$26, 2, 0)</f>
        <v>4</v>
      </c>
      <c r="AG70" s="0" t="n">
        <f aca="false">VLOOKUP(W70, $K$3:$L$26, 2, 0)</f>
        <v>10</v>
      </c>
      <c r="AH70" s="0" t="n">
        <f aca="false">VLOOKUP(X70, $K$3:$L$26, 2, 0)</f>
        <v>10</v>
      </c>
      <c r="AI70" s="0" t="n">
        <f aca="false">VLOOKUP(Y70, $K$3:$L$26, 2, 0)</f>
        <v>0.1</v>
      </c>
      <c r="AK70" s="36" t="n">
        <v>56</v>
      </c>
      <c r="AL70" s="0" t="n">
        <v>0.1</v>
      </c>
      <c r="AM70" s="0" t="n">
        <v>1.1</v>
      </c>
      <c r="AN70" s="0" t="n">
        <v>2</v>
      </c>
      <c r="AO70" s="0" t="n">
        <v>4</v>
      </c>
      <c r="AP70" s="0" t="n">
        <v>9</v>
      </c>
      <c r="AQ70" s="0" t="n">
        <v>10</v>
      </c>
      <c r="AR70" s="0" t="n">
        <v>11</v>
      </c>
      <c r="AU70" s="37" t="n">
        <v>56</v>
      </c>
      <c r="AV70" s="38" t="n">
        <f aca="false">VLOOKUP(AL70, $L$3:$M$26, 2, 0)</f>
        <v>1</v>
      </c>
      <c r="AW70" s="38" t="n">
        <f aca="false">VLOOKUP(AM70, $L$3:$M$26, 2, 0)</f>
        <v>1.583</v>
      </c>
      <c r="AX70" s="38" t="n">
        <f aca="false">VLOOKUP(AN70, $L$3:$M$26, 2, 0)</f>
        <v>0.25</v>
      </c>
      <c r="AY70" s="38" t="n">
        <f aca="false">VLOOKUP(AO70, $L$3:$M$26, 2, 0)</f>
        <v>0.833333333333333</v>
      </c>
      <c r="AZ70" s="38" t="n">
        <f aca="false">VLOOKUP(AP70, $L$3:$M$26, 2, 0)</f>
        <v>0.666666666666667</v>
      </c>
      <c r="BA70" s="38" t="n">
        <f aca="false">VLOOKUP(AQ70, $L$3:$M$26, 2, 0)</f>
        <v>0.416666666666667</v>
      </c>
      <c r="BB70" s="38" t="n">
        <f aca="false">VLOOKUP(AR70, $L$3:$M$26, 2, 0)</f>
        <v>0.0833333333333333</v>
      </c>
    </row>
    <row r="71" customFormat="false" ht="12.8" hidden="false" customHeight="false" outlineLevel="0" collapsed="false">
      <c r="R71" s="9" t="n">
        <f aca="false">R70+1</f>
        <v>68</v>
      </c>
      <c r="S71" s="0" t="n">
        <v>0.0833333333333333</v>
      </c>
      <c r="T71" s="0" t="n">
        <v>0.666666666666667</v>
      </c>
      <c r="U71" s="0" t="n">
        <v>0.25</v>
      </c>
      <c r="V71" s="0" t="n">
        <v>0.833333333333333</v>
      </c>
      <c r="W71" s="0" t="n">
        <v>0.416666666666667</v>
      </c>
      <c r="X71" s="0" t="n">
        <v>0.416666666666667</v>
      </c>
      <c r="Y71" s="0" t="n">
        <v>1</v>
      </c>
      <c r="AB71" s="0" t="n">
        <v>68</v>
      </c>
      <c r="AC71" s="0" t="n">
        <f aca="false">VLOOKUP(S71, $K$3:$L$26, 2, 0)</f>
        <v>11</v>
      </c>
      <c r="AD71" s="0" t="n">
        <f aca="false">VLOOKUP(T71, $K$3:$L$26, 2, 0)</f>
        <v>9</v>
      </c>
      <c r="AE71" s="0" t="n">
        <f aca="false">VLOOKUP(U71, $K$3:$L$26, 2, 0)</f>
        <v>2</v>
      </c>
      <c r="AF71" s="0" t="n">
        <f aca="false">VLOOKUP(V71, $K$3:$L$26, 2, 0)</f>
        <v>4</v>
      </c>
      <c r="AG71" s="0" t="n">
        <f aca="false">VLOOKUP(W71, $K$3:$L$26, 2, 0)</f>
        <v>10</v>
      </c>
      <c r="AH71" s="0" t="n">
        <f aca="false">VLOOKUP(X71, $K$3:$L$26, 2, 0)</f>
        <v>10</v>
      </c>
      <c r="AI71" s="0" t="n">
        <f aca="false">VLOOKUP(Y71, $K$3:$L$26, 2, 0)</f>
        <v>0.1</v>
      </c>
      <c r="AK71" s="36" t="n">
        <v>57</v>
      </c>
      <c r="AL71" s="0" t="n">
        <v>0.1</v>
      </c>
      <c r="AM71" s="0" t="n">
        <v>1.1</v>
      </c>
      <c r="AN71" s="0" t="n">
        <v>2</v>
      </c>
      <c r="AO71" s="0" t="n">
        <v>9</v>
      </c>
      <c r="AP71" s="0" t="n">
        <v>10</v>
      </c>
      <c r="AQ71" s="0" t="n">
        <v>10</v>
      </c>
      <c r="AR71" s="0" t="n">
        <v>11</v>
      </c>
      <c r="AU71" s="37" t="n">
        <v>57</v>
      </c>
      <c r="AV71" s="38" t="n">
        <f aca="false">VLOOKUP(AL71, $L$3:$M$26, 2, 0)</f>
        <v>1</v>
      </c>
      <c r="AW71" s="38" t="n">
        <f aca="false">VLOOKUP(AM71, $L$3:$M$26, 2, 0)</f>
        <v>1.583</v>
      </c>
      <c r="AX71" s="38" t="n">
        <f aca="false">VLOOKUP(AN71, $L$3:$M$26, 2, 0)</f>
        <v>0.25</v>
      </c>
      <c r="AY71" s="38" t="n">
        <f aca="false">VLOOKUP(AO71, $L$3:$M$26, 2, 0)</f>
        <v>0.666666666666667</v>
      </c>
      <c r="AZ71" s="38" t="n">
        <f aca="false">VLOOKUP(AP71, $L$3:$M$26, 2, 0)</f>
        <v>0.416666666666667</v>
      </c>
      <c r="BA71" s="38" t="n">
        <f aca="false">VLOOKUP(AQ71, $L$3:$M$26, 2, 0)</f>
        <v>0.416666666666667</v>
      </c>
      <c r="BB71" s="38" t="n">
        <f aca="false">VLOOKUP(AR71, $L$3:$M$26, 2, 0)</f>
        <v>0.0833333333333333</v>
      </c>
    </row>
    <row r="72" customFormat="false" ht="12.8" hidden="false" customHeight="false" outlineLevel="0" collapsed="false">
      <c r="R72" s="9" t="n">
        <f aca="false">R71+1</f>
        <v>69</v>
      </c>
      <c r="S72" s="0" t="n">
        <v>0.0833333333333333</v>
      </c>
      <c r="T72" s="0" t="n">
        <v>0.666666666666667</v>
      </c>
      <c r="U72" s="0" t="n">
        <v>0.666666666666667</v>
      </c>
      <c r="V72" s="0" t="n">
        <v>0.416666666666667</v>
      </c>
      <c r="W72" s="0" t="n">
        <v>0.416666666666667</v>
      </c>
      <c r="X72" s="0" t="n">
        <v>1</v>
      </c>
      <c r="Y72" s="0" t="n">
        <v>1</v>
      </c>
      <c r="AB72" s="0" t="n">
        <v>69</v>
      </c>
      <c r="AC72" s="0" t="n">
        <f aca="false">VLOOKUP(S72, $K$3:$L$26, 2, 0)</f>
        <v>11</v>
      </c>
      <c r="AD72" s="0" t="n">
        <f aca="false">VLOOKUP(T72, $K$3:$L$26, 2, 0)</f>
        <v>9</v>
      </c>
      <c r="AE72" s="0" t="n">
        <f aca="false">VLOOKUP(U72, $K$3:$L$26, 2, 0)</f>
        <v>9</v>
      </c>
      <c r="AF72" s="0" t="n">
        <f aca="false">VLOOKUP(V72, $K$3:$L$26, 2, 0)</f>
        <v>10</v>
      </c>
      <c r="AG72" s="0" t="n">
        <f aca="false">VLOOKUP(W72, $K$3:$L$26, 2, 0)</f>
        <v>10</v>
      </c>
      <c r="AH72" s="0" t="n">
        <f aca="false">VLOOKUP(X72, $K$3:$L$26, 2, 0)</f>
        <v>0.1</v>
      </c>
      <c r="AI72" s="0" t="n">
        <f aca="false">VLOOKUP(Y72, $K$3:$L$26, 2, 0)</f>
        <v>0.1</v>
      </c>
      <c r="AK72" s="36" t="n">
        <v>58</v>
      </c>
      <c r="AL72" s="0" t="n">
        <v>0.1</v>
      </c>
      <c r="AM72" s="0" t="n">
        <v>1.1</v>
      </c>
      <c r="AN72" s="0" t="n">
        <v>2</v>
      </c>
      <c r="AO72" s="0" t="n">
        <v>9</v>
      </c>
      <c r="AP72" s="0" t="n">
        <v>10</v>
      </c>
      <c r="AQ72" s="0" t="n">
        <v>10</v>
      </c>
      <c r="AR72" s="0" t="n">
        <v>11</v>
      </c>
      <c r="AU72" s="37" t="n">
        <v>58</v>
      </c>
      <c r="AV72" s="38" t="n">
        <f aca="false">VLOOKUP(AL72, $L$3:$M$26, 2, 0)</f>
        <v>1</v>
      </c>
      <c r="AW72" s="38" t="n">
        <f aca="false">VLOOKUP(AM72, $L$3:$M$26, 2, 0)</f>
        <v>1.583</v>
      </c>
      <c r="AX72" s="38" t="n">
        <f aca="false">VLOOKUP(AN72, $L$3:$M$26, 2, 0)</f>
        <v>0.25</v>
      </c>
      <c r="AY72" s="38" t="n">
        <f aca="false">VLOOKUP(AO72, $L$3:$M$26, 2, 0)</f>
        <v>0.666666666666667</v>
      </c>
      <c r="AZ72" s="38" t="n">
        <f aca="false">VLOOKUP(AP72, $L$3:$M$26, 2, 0)</f>
        <v>0.416666666666667</v>
      </c>
      <c r="BA72" s="38" t="n">
        <f aca="false">VLOOKUP(AQ72, $L$3:$M$26, 2, 0)</f>
        <v>0.416666666666667</v>
      </c>
      <c r="BB72" s="38" t="n">
        <f aca="false">VLOOKUP(AR72, $L$3:$M$26, 2, 0)</f>
        <v>0.0833333333333333</v>
      </c>
    </row>
    <row r="73" customFormat="false" ht="12.8" hidden="false" customHeight="false" outlineLevel="0" collapsed="false">
      <c r="R73" s="9" t="n">
        <f aca="false">R72+1</f>
        <v>70</v>
      </c>
      <c r="S73" s="0" t="n">
        <v>0.0833333333333333</v>
      </c>
      <c r="T73" s="0" t="n">
        <v>0.666666666666667</v>
      </c>
      <c r="U73" s="0" t="n">
        <v>0.666666666666667</v>
      </c>
      <c r="V73" s="0" t="n">
        <v>0.416666666666667</v>
      </c>
      <c r="W73" s="0" t="n">
        <v>0.416666666666667</v>
      </c>
      <c r="X73" s="0" t="n">
        <v>1</v>
      </c>
      <c r="Y73" s="0" t="n">
        <v>1</v>
      </c>
      <c r="AB73" s="0" t="n">
        <v>70</v>
      </c>
      <c r="AC73" s="0" t="n">
        <f aca="false">VLOOKUP(S73, $K$3:$L$26, 2, 0)</f>
        <v>11</v>
      </c>
      <c r="AD73" s="0" t="n">
        <f aca="false">VLOOKUP(T73, $K$3:$L$26, 2, 0)</f>
        <v>9</v>
      </c>
      <c r="AE73" s="0" t="n">
        <f aca="false">VLOOKUP(U73, $K$3:$L$26, 2, 0)</f>
        <v>9</v>
      </c>
      <c r="AF73" s="0" t="n">
        <f aca="false">VLOOKUP(V73, $K$3:$L$26, 2, 0)</f>
        <v>10</v>
      </c>
      <c r="AG73" s="0" t="n">
        <f aca="false">VLOOKUP(W73, $K$3:$L$26, 2, 0)</f>
        <v>10</v>
      </c>
      <c r="AH73" s="0" t="n">
        <f aca="false">VLOOKUP(X73, $K$3:$L$26, 2, 0)</f>
        <v>0.1</v>
      </c>
      <c r="AI73" s="0" t="n">
        <f aca="false">VLOOKUP(Y73, $K$3:$L$26, 2, 0)</f>
        <v>0.1</v>
      </c>
      <c r="AK73" s="36" t="n">
        <v>59</v>
      </c>
      <c r="AL73" s="0" t="n">
        <v>0</v>
      </c>
      <c r="AM73" s="0" t="n">
        <v>0</v>
      </c>
      <c r="AN73" s="0" t="n">
        <v>0</v>
      </c>
      <c r="AO73" s="0" t="n">
        <v>10</v>
      </c>
      <c r="AP73" s="0" t="n">
        <v>10</v>
      </c>
      <c r="AQ73" s="0" t="n">
        <v>10</v>
      </c>
      <c r="AR73" s="0" t="n">
        <v>10</v>
      </c>
      <c r="AU73" s="37" t="n">
        <v>59</v>
      </c>
      <c r="AV73" s="38" t="n">
        <f aca="false">VLOOKUP(AL73, $L$3:$M$26, 2, 0)</f>
        <v>0</v>
      </c>
      <c r="AW73" s="38" t="n">
        <f aca="false">VLOOKUP(AM73, $L$3:$M$26, 2, 0)</f>
        <v>0</v>
      </c>
      <c r="AX73" s="38" t="n">
        <f aca="false">VLOOKUP(AN73, $L$3:$M$26, 2, 0)</f>
        <v>0</v>
      </c>
      <c r="AY73" s="38" t="n">
        <f aca="false">VLOOKUP(AO73, $L$3:$M$26, 2, 0)</f>
        <v>0.416666666666667</v>
      </c>
      <c r="AZ73" s="38" t="n">
        <f aca="false">VLOOKUP(AP73, $L$3:$M$26, 2, 0)</f>
        <v>0.416666666666667</v>
      </c>
      <c r="BA73" s="38" t="n">
        <f aca="false">VLOOKUP(AQ73, $L$3:$M$26, 2, 0)</f>
        <v>0.416666666666667</v>
      </c>
      <c r="BB73" s="38" t="n">
        <f aca="false">VLOOKUP(AR73, $L$3:$M$26, 2, 0)</f>
        <v>0.416666666666667</v>
      </c>
    </row>
    <row r="74" customFormat="false" ht="12.8" hidden="false" customHeight="false" outlineLevel="0" collapsed="false">
      <c r="R74" s="9" t="n">
        <f aca="false">R73+1</f>
        <v>71</v>
      </c>
      <c r="S74" s="0" t="n">
        <v>0.5</v>
      </c>
      <c r="T74" s="0" t="n">
        <v>0.0833333333333333</v>
      </c>
      <c r="U74" s="0" t="n">
        <v>0.666666666666667</v>
      </c>
      <c r="V74" s="0" t="n">
        <v>0.833333333333333</v>
      </c>
      <c r="W74" s="0" t="n">
        <v>0.833333333333333</v>
      </c>
      <c r="X74" s="0" t="n">
        <v>1.417</v>
      </c>
      <c r="Y74" s="0" t="n">
        <v>1</v>
      </c>
      <c r="AB74" s="0" t="n">
        <v>71</v>
      </c>
      <c r="AC74" s="0" t="n">
        <f aca="false">VLOOKUP(S74, $K$3:$L$26, 2, 0)</f>
        <v>8</v>
      </c>
      <c r="AD74" s="0" t="n">
        <f aca="false">VLOOKUP(T74, $K$3:$L$26, 2, 0)</f>
        <v>11</v>
      </c>
      <c r="AE74" s="0" t="n">
        <f aca="false">VLOOKUP(U74, $K$3:$L$26, 2, 0)</f>
        <v>9</v>
      </c>
      <c r="AF74" s="0" t="n">
        <f aca="false">VLOOKUP(V74, $K$3:$L$26, 2, 0)</f>
        <v>4</v>
      </c>
      <c r="AG74" s="0" t="n">
        <f aca="false">VLOOKUP(W74, $K$3:$L$26, 2, 0)</f>
        <v>4</v>
      </c>
      <c r="AH74" s="0" t="n">
        <f aca="false">VLOOKUP(X74, $K$3:$L$26, 2, 0)</f>
        <v>10.1</v>
      </c>
      <c r="AI74" s="0" t="n">
        <f aca="false">VLOOKUP(Y74, $K$3:$L$26, 2, 0)</f>
        <v>0.1</v>
      </c>
      <c r="AK74" s="36" t="n">
        <v>60</v>
      </c>
      <c r="AL74" s="0" t="n">
        <v>0</v>
      </c>
      <c r="AM74" s="0" t="n">
        <v>0</v>
      </c>
      <c r="AN74" s="0" t="n">
        <v>0</v>
      </c>
      <c r="AO74" s="0" t="n">
        <v>10</v>
      </c>
      <c r="AP74" s="0" t="n">
        <v>10</v>
      </c>
      <c r="AQ74" s="0" t="n">
        <v>10</v>
      </c>
      <c r="AR74" s="0" t="n">
        <v>10</v>
      </c>
      <c r="AU74" s="37" t="n">
        <v>60</v>
      </c>
      <c r="AV74" s="38" t="n">
        <f aca="false">VLOOKUP(AL74, $L$3:$M$26, 2, 0)</f>
        <v>0</v>
      </c>
      <c r="AW74" s="38" t="n">
        <f aca="false">VLOOKUP(AM74, $L$3:$M$26, 2, 0)</f>
        <v>0</v>
      </c>
      <c r="AX74" s="38" t="n">
        <f aca="false">VLOOKUP(AN74, $L$3:$M$26, 2, 0)</f>
        <v>0</v>
      </c>
      <c r="AY74" s="38" t="n">
        <f aca="false">VLOOKUP(AO74, $L$3:$M$26, 2, 0)</f>
        <v>0.416666666666667</v>
      </c>
      <c r="AZ74" s="38" t="n">
        <f aca="false">VLOOKUP(AP74, $L$3:$M$26, 2, 0)</f>
        <v>0.416666666666667</v>
      </c>
      <c r="BA74" s="38" t="n">
        <f aca="false">VLOOKUP(AQ74, $L$3:$M$26, 2, 0)</f>
        <v>0.416666666666667</v>
      </c>
      <c r="BB74" s="38" t="n">
        <f aca="false">VLOOKUP(AR74, $L$3:$M$26, 2, 0)</f>
        <v>0.416666666666667</v>
      </c>
    </row>
    <row r="75" customFormat="false" ht="12.8" hidden="false" customHeight="false" outlineLevel="0" collapsed="false">
      <c r="R75" s="9" t="n">
        <f aca="false">R74+1</f>
        <v>72</v>
      </c>
      <c r="S75" s="0" t="n">
        <v>0.5</v>
      </c>
      <c r="T75" s="0" t="n">
        <v>0.0833333333333333</v>
      </c>
      <c r="U75" s="0" t="n">
        <v>0.666666666666667</v>
      </c>
      <c r="V75" s="0" t="n">
        <v>0.833333333333333</v>
      </c>
      <c r="W75" s="0" t="n">
        <v>0.833333333333333</v>
      </c>
      <c r="X75" s="0" t="n">
        <v>1.417</v>
      </c>
      <c r="Y75" s="0" t="n">
        <v>1</v>
      </c>
      <c r="AB75" s="0" t="n">
        <v>72</v>
      </c>
      <c r="AC75" s="0" t="n">
        <f aca="false">VLOOKUP(S75, $K$3:$L$26, 2, 0)</f>
        <v>8</v>
      </c>
      <c r="AD75" s="0" t="n">
        <f aca="false">VLOOKUP(T75, $K$3:$L$26, 2, 0)</f>
        <v>11</v>
      </c>
      <c r="AE75" s="0" t="n">
        <f aca="false">VLOOKUP(U75, $K$3:$L$26, 2, 0)</f>
        <v>9</v>
      </c>
      <c r="AF75" s="0" t="n">
        <f aca="false">VLOOKUP(V75, $K$3:$L$26, 2, 0)</f>
        <v>4</v>
      </c>
      <c r="AG75" s="0" t="n">
        <f aca="false">VLOOKUP(W75, $K$3:$L$26, 2, 0)</f>
        <v>4</v>
      </c>
      <c r="AH75" s="0" t="n">
        <f aca="false">VLOOKUP(X75, $K$3:$L$26, 2, 0)</f>
        <v>10.1</v>
      </c>
      <c r="AI75" s="0" t="n">
        <f aca="false">VLOOKUP(Y75, $K$3:$L$26, 2, 0)</f>
        <v>0.1</v>
      </c>
      <c r="AK75" s="36" t="n">
        <v>61</v>
      </c>
      <c r="AL75" s="0" t="n">
        <v>0</v>
      </c>
      <c r="AM75" s="0" t="n">
        <v>0</v>
      </c>
      <c r="AN75" s="0" t="n">
        <v>4</v>
      </c>
      <c r="AO75" s="0" t="n">
        <v>4</v>
      </c>
      <c r="AP75" s="0" t="n">
        <v>10</v>
      </c>
      <c r="AQ75" s="0" t="n">
        <v>10</v>
      </c>
      <c r="AR75" s="0" t="n">
        <v>10</v>
      </c>
      <c r="AU75" s="37" t="n">
        <v>61</v>
      </c>
      <c r="AV75" s="38" t="n">
        <f aca="false">VLOOKUP(AL75, $L$3:$M$26, 2, 0)</f>
        <v>0</v>
      </c>
      <c r="AW75" s="38" t="n">
        <f aca="false">VLOOKUP(AM75, $L$3:$M$26, 2, 0)</f>
        <v>0</v>
      </c>
      <c r="AX75" s="38" t="n">
        <f aca="false">VLOOKUP(AN75, $L$3:$M$26, 2, 0)</f>
        <v>0.833333333333333</v>
      </c>
      <c r="AY75" s="38" t="n">
        <f aca="false">VLOOKUP(AO75, $L$3:$M$26, 2, 0)</f>
        <v>0.833333333333333</v>
      </c>
      <c r="AZ75" s="38" t="n">
        <f aca="false">VLOOKUP(AP75, $L$3:$M$26, 2, 0)</f>
        <v>0.416666666666667</v>
      </c>
      <c r="BA75" s="38" t="n">
        <f aca="false">VLOOKUP(AQ75, $L$3:$M$26, 2, 0)</f>
        <v>0.416666666666667</v>
      </c>
      <c r="BB75" s="38" t="n">
        <f aca="false">VLOOKUP(AR75, $L$3:$M$26, 2, 0)</f>
        <v>0.416666666666667</v>
      </c>
    </row>
    <row r="76" customFormat="false" ht="12.8" hidden="false" customHeight="false" outlineLevel="0" collapsed="false">
      <c r="AK76" s="36" t="n">
        <v>62</v>
      </c>
      <c r="AL76" s="0" t="n">
        <v>0</v>
      </c>
      <c r="AM76" s="0" t="n">
        <v>0</v>
      </c>
      <c r="AN76" s="0" t="n">
        <v>4</v>
      </c>
      <c r="AO76" s="0" t="n">
        <v>4</v>
      </c>
      <c r="AP76" s="0" t="n">
        <v>10</v>
      </c>
      <c r="AQ76" s="0" t="n">
        <v>10</v>
      </c>
      <c r="AR76" s="0" t="n">
        <v>10</v>
      </c>
      <c r="AU76" s="37" t="n">
        <v>62</v>
      </c>
      <c r="AV76" s="38" t="n">
        <f aca="false">VLOOKUP(AL76, $L$3:$M$26, 2, 0)</f>
        <v>0</v>
      </c>
      <c r="AW76" s="38" t="n">
        <f aca="false">VLOOKUP(AM76, $L$3:$M$26, 2, 0)</f>
        <v>0</v>
      </c>
      <c r="AX76" s="38" t="n">
        <f aca="false">VLOOKUP(AN76, $L$3:$M$26, 2, 0)</f>
        <v>0.833333333333333</v>
      </c>
      <c r="AY76" s="38" t="n">
        <f aca="false">VLOOKUP(AO76, $L$3:$M$26, 2, 0)</f>
        <v>0.833333333333333</v>
      </c>
      <c r="AZ76" s="38" t="n">
        <f aca="false">VLOOKUP(AP76, $L$3:$M$26, 2, 0)</f>
        <v>0.416666666666667</v>
      </c>
      <c r="BA76" s="38" t="n">
        <f aca="false">VLOOKUP(AQ76, $L$3:$M$26, 2, 0)</f>
        <v>0.416666666666667</v>
      </c>
      <c r="BB76" s="38" t="n">
        <f aca="false">VLOOKUP(AR76, $L$3:$M$26, 2, 0)</f>
        <v>0.416666666666667</v>
      </c>
    </row>
    <row r="77" customFormat="false" ht="12.8" hidden="false" customHeight="false" outlineLevel="0" collapsed="false">
      <c r="AK77" s="36" t="n">
        <v>63</v>
      </c>
      <c r="AL77" s="0" t="n">
        <v>0</v>
      </c>
      <c r="AM77" s="0" t="n">
        <v>2</v>
      </c>
      <c r="AN77" s="0" t="n">
        <v>2</v>
      </c>
      <c r="AO77" s="0" t="n">
        <v>4</v>
      </c>
      <c r="AP77" s="0" t="n">
        <v>4</v>
      </c>
      <c r="AQ77" s="0" t="n">
        <v>10</v>
      </c>
      <c r="AR77" s="0" t="n">
        <v>10</v>
      </c>
      <c r="AU77" s="37" t="n">
        <v>63</v>
      </c>
      <c r="AV77" s="38" t="n">
        <f aca="false">VLOOKUP(AL77, $L$3:$M$26, 2, 0)</f>
        <v>0</v>
      </c>
      <c r="AW77" s="38" t="n">
        <f aca="false">VLOOKUP(AM77, $L$3:$M$26, 2, 0)</f>
        <v>0.25</v>
      </c>
      <c r="AX77" s="38" t="n">
        <f aca="false">VLOOKUP(AN77, $L$3:$M$26, 2, 0)</f>
        <v>0.25</v>
      </c>
      <c r="AY77" s="38" t="n">
        <f aca="false">VLOOKUP(AO77, $L$3:$M$26, 2, 0)</f>
        <v>0.833333333333333</v>
      </c>
      <c r="AZ77" s="38" t="n">
        <f aca="false">VLOOKUP(AP77, $L$3:$M$26, 2, 0)</f>
        <v>0.833333333333333</v>
      </c>
      <c r="BA77" s="38" t="n">
        <f aca="false">VLOOKUP(AQ77, $L$3:$M$26, 2, 0)</f>
        <v>0.416666666666667</v>
      </c>
      <c r="BB77" s="38" t="n">
        <f aca="false">VLOOKUP(AR77, $L$3:$M$26, 2, 0)</f>
        <v>0.416666666666667</v>
      </c>
    </row>
    <row r="78" customFormat="false" ht="12.8" hidden="false" customHeight="false" outlineLevel="0" collapsed="false">
      <c r="AK78" s="36" t="n">
        <v>64</v>
      </c>
      <c r="AL78" s="0" t="n">
        <v>0</v>
      </c>
      <c r="AM78" s="0" t="n">
        <v>2</v>
      </c>
      <c r="AN78" s="0" t="n">
        <v>2</v>
      </c>
      <c r="AO78" s="0" t="n">
        <v>4</v>
      </c>
      <c r="AP78" s="0" t="n">
        <v>4</v>
      </c>
      <c r="AQ78" s="0" t="n">
        <v>10</v>
      </c>
      <c r="AR78" s="0" t="n">
        <v>10</v>
      </c>
      <c r="AU78" s="37" t="n">
        <v>64</v>
      </c>
      <c r="AV78" s="38" t="n">
        <f aca="false">VLOOKUP(AL78, $L$3:$M$26, 2, 0)</f>
        <v>0</v>
      </c>
      <c r="AW78" s="38" t="n">
        <f aca="false">VLOOKUP(AM78, $L$3:$M$26, 2, 0)</f>
        <v>0.25</v>
      </c>
      <c r="AX78" s="38" t="n">
        <f aca="false">VLOOKUP(AN78, $L$3:$M$26, 2, 0)</f>
        <v>0.25</v>
      </c>
      <c r="AY78" s="38" t="n">
        <f aca="false">VLOOKUP(AO78, $L$3:$M$26, 2, 0)</f>
        <v>0.833333333333333</v>
      </c>
      <c r="AZ78" s="38" t="n">
        <f aca="false">VLOOKUP(AP78, $L$3:$M$26, 2, 0)</f>
        <v>0.833333333333333</v>
      </c>
      <c r="BA78" s="38" t="n">
        <f aca="false">VLOOKUP(AQ78, $L$3:$M$26, 2, 0)</f>
        <v>0.416666666666667</v>
      </c>
      <c r="BB78" s="38" t="n">
        <f aca="false">VLOOKUP(AR78, $L$3:$M$26, 2, 0)</f>
        <v>0.416666666666667</v>
      </c>
    </row>
    <row r="79" customFormat="false" ht="12.8" hidden="false" customHeight="false" outlineLevel="0" collapsed="false">
      <c r="AK79" s="36" t="n">
        <v>65</v>
      </c>
      <c r="AL79" s="0" t="n">
        <v>0</v>
      </c>
      <c r="AM79" s="0" t="n">
        <v>2</v>
      </c>
      <c r="AN79" s="0" t="n">
        <v>2</v>
      </c>
      <c r="AO79" s="0" t="n">
        <v>4</v>
      </c>
      <c r="AP79" s="0" t="n">
        <v>9</v>
      </c>
      <c r="AQ79" s="0" t="n">
        <v>10</v>
      </c>
      <c r="AR79" s="0" t="n">
        <v>10</v>
      </c>
      <c r="AU79" s="37" t="n">
        <v>65</v>
      </c>
      <c r="AV79" s="38" t="n">
        <f aca="false">VLOOKUP(AL79, $L$3:$M$26, 2, 0)</f>
        <v>0</v>
      </c>
      <c r="AW79" s="38" t="n">
        <f aca="false">VLOOKUP(AM79, $L$3:$M$26, 2, 0)</f>
        <v>0.25</v>
      </c>
      <c r="AX79" s="38" t="n">
        <f aca="false">VLOOKUP(AN79, $L$3:$M$26, 2, 0)</f>
        <v>0.25</v>
      </c>
      <c r="AY79" s="38" t="n">
        <f aca="false">VLOOKUP(AO79, $L$3:$M$26, 2, 0)</f>
        <v>0.833333333333333</v>
      </c>
      <c r="AZ79" s="38" t="n">
        <f aca="false">VLOOKUP(AP79, $L$3:$M$26, 2, 0)</f>
        <v>0.666666666666667</v>
      </c>
      <c r="BA79" s="38" t="n">
        <f aca="false">VLOOKUP(AQ79, $L$3:$M$26, 2, 0)</f>
        <v>0.416666666666667</v>
      </c>
      <c r="BB79" s="38" t="n">
        <f aca="false">VLOOKUP(AR79, $L$3:$M$26, 2, 0)</f>
        <v>0.416666666666667</v>
      </c>
    </row>
    <row r="80" customFormat="false" ht="12.8" hidden="false" customHeight="false" outlineLevel="0" collapsed="false">
      <c r="AK80" s="36" t="n">
        <v>66</v>
      </c>
      <c r="AL80" s="0" t="n">
        <v>0</v>
      </c>
      <c r="AM80" s="0" t="n">
        <v>2</v>
      </c>
      <c r="AN80" s="0" t="n">
        <v>2</v>
      </c>
      <c r="AO80" s="0" t="n">
        <v>4</v>
      </c>
      <c r="AP80" s="0" t="n">
        <v>9</v>
      </c>
      <c r="AQ80" s="0" t="n">
        <v>10</v>
      </c>
      <c r="AR80" s="0" t="n">
        <v>10</v>
      </c>
      <c r="AU80" s="37" t="n">
        <v>66</v>
      </c>
      <c r="AV80" s="38" t="n">
        <f aca="false">VLOOKUP(AL80, $L$3:$M$26, 2, 0)</f>
        <v>0</v>
      </c>
      <c r="AW80" s="38" t="n">
        <f aca="false">VLOOKUP(AM80, $L$3:$M$26, 2, 0)</f>
        <v>0.25</v>
      </c>
      <c r="AX80" s="38" t="n">
        <f aca="false">VLOOKUP(AN80, $L$3:$M$26, 2, 0)</f>
        <v>0.25</v>
      </c>
      <c r="AY80" s="38" t="n">
        <f aca="false">VLOOKUP(AO80, $L$3:$M$26, 2, 0)</f>
        <v>0.833333333333333</v>
      </c>
      <c r="AZ80" s="38" t="n">
        <f aca="false">VLOOKUP(AP80, $L$3:$M$26, 2, 0)</f>
        <v>0.666666666666667</v>
      </c>
      <c r="BA80" s="38" t="n">
        <f aca="false">VLOOKUP(AQ80, $L$3:$M$26, 2, 0)</f>
        <v>0.416666666666667</v>
      </c>
      <c r="BB80" s="38" t="n">
        <f aca="false">VLOOKUP(AR80, $L$3:$M$26, 2, 0)</f>
        <v>0.416666666666667</v>
      </c>
    </row>
    <row r="81" customFormat="false" ht="12.8" hidden="false" customHeight="false" outlineLevel="0" collapsed="false">
      <c r="AK81" s="36" t="n">
        <v>67</v>
      </c>
      <c r="AL81" s="0" t="n">
        <v>0.1</v>
      </c>
      <c r="AM81" s="0" t="n">
        <v>2</v>
      </c>
      <c r="AN81" s="0" t="n">
        <v>4</v>
      </c>
      <c r="AO81" s="0" t="n">
        <v>9</v>
      </c>
      <c r="AP81" s="0" t="n">
        <v>10</v>
      </c>
      <c r="AQ81" s="0" t="n">
        <v>10</v>
      </c>
      <c r="AR81" s="0" t="n">
        <v>11</v>
      </c>
      <c r="AU81" s="37" t="n">
        <v>67</v>
      </c>
      <c r="AV81" s="38" t="n">
        <f aca="false">VLOOKUP(AL81, $L$3:$M$26, 2, 0)</f>
        <v>1</v>
      </c>
      <c r="AW81" s="38" t="n">
        <f aca="false">VLOOKUP(AM81, $L$3:$M$26, 2, 0)</f>
        <v>0.25</v>
      </c>
      <c r="AX81" s="38" t="n">
        <f aca="false">VLOOKUP(AN81, $L$3:$M$26, 2, 0)</f>
        <v>0.833333333333333</v>
      </c>
      <c r="AY81" s="38" t="n">
        <f aca="false">VLOOKUP(AO81, $L$3:$M$26, 2, 0)</f>
        <v>0.666666666666667</v>
      </c>
      <c r="AZ81" s="38" t="n">
        <f aca="false">VLOOKUP(AP81, $L$3:$M$26, 2, 0)</f>
        <v>0.416666666666667</v>
      </c>
      <c r="BA81" s="38" t="n">
        <f aca="false">VLOOKUP(AQ81, $L$3:$M$26, 2, 0)</f>
        <v>0.416666666666667</v>
      </c>
      <c r="BB81" s="38" t="n">
        <f aca="false">VLOOKUP(AR81, $L$3:$M$26, 2, 0)</f>
        <v>0.0833333333333333</v>
      </c>
    </row>
    <row r="82" customFormat="false" ht="12.8" hidden="false" customHeight="false" outlineLevel="0" collapsed="false">
      <c r="AK82" s="36" t="n">
        <v>68</v>
      </c>
      <c r="AL82" s="0" t="n">
        <v>0.1</v>
      </c>
      <c r="AM82" s="0" t="n">
        <v>2</v>
      </c>
      <c r="AN82" s="0" t="n">
        <v>4</v>
      </c>
      <c r="AO82" s="0" t="n">
        <v>9</v>
      </c>
      <c r="AP82" s="0" t="n">
        <v>10</v>
      </c>
      <c r="AQ82" s="0" t="n">
        <v>10</v>
      </c>
      <c r="AR82" s="0" t="n">
        <v>11</v>
      </c>
      <c r="AU82" s="37" t="n">
        <v>68</v>
      </c>
      <c r="AV82" s="38" t="n">
        <f aca="false">VLOOKUP(AL82, $L$3:$M$26, 2, 0)</f>
        <v>1</v>
      </c>
      <c r="AW82" s="38" t="n">
        <f aca="false">VLOOKUP(AM82, $L$3:$M$26, 2, 0)</f>
        <v>0.25</v>
      </c>
      <c r="AX82" s="38" t="n">
        <f aca="false">VLOOKUP(AN82, $L$3:$M$26, 2, 0)</f>
        <v>0.833333333333333</v>
      </c>
      <c r="AY82" s="38" t="n">
        <f aca="false">VLOOKUP(AO82, $L$3:$M$26, 2, 0)</f>
        <v>0.666666666666667</v>
      </c>
      <c r="AZ82" s="38" t="n">
        <f aca="false">VLOOKUP(AP82, $L$3:$M$26, 2, 0)</f>
        <v>0.416666666666667</v>
      </c>
      <c r="BA82" s="38" t="n">
        <f aca="false">VLOOKUP(AQ82, $L$3:$M$26, 2, 0)</f>
        <v>0.416666666666667</v>
      </c>
      <c r="BB82" s="38" t="n">
        <f aca="false">VLOOKUP(AR82, $L$3:$M$26, 2, 0)</f>
        <v>0.0833333333333333</v>
      </c>
    </row>
    <row r="83" customFormat="false" ht="12.8" hidden="false" customHeight="false" outlineLevel="0" collapsed="false">
      <c r="AK83" s="36" t="n">
        <v>69</v>
      </c>
      <c r="AL83" s="0" t="n">
        <v>0.1</v>
      </c>
      <c r="AM83" s="0" t="n">
        <v>0.1</v>
      </c>
      <c r="AN83" s="0" t="n">
        <v>9</v>
      </c>
      <c r="AO83" s="0" t="n">
        <v>9</v>
      </c>
      <c r="AP83" s="0" t="n">
        <v>10</v>
      </c>
      <c r="AQ83" s="0" t="n">
        <v>10</v>
      </c>
      <c r="AR83" s="0" t="n">
        <v>11</v>
      </c>
      <c r="AU83" s="37" t="n">
        <v>69</v>
      </c>
      <c r="AV83" s="38" t="n">
        <f aca="false">VLOOKUP(AL83, $L$3:$M$26, 2, 0)</f>
        <v>1</v>
      </c>
      <c r="AW83" s="38" t="n">
        <f aca="false">VLOOKUP(AM83, $L$3:$M$26, 2, 0)</f>
        <v>1</v>
      </c>
      <c r="AX83" s="38" t="n">
        <f aca="false">VLOOKUP(AN83, $L$3:$M$26, 2, 0)</f>
        <v>0.666666666666667</v>
      </c>
      <c r="AY83" s="38" t="n">
        <f aca="false">VLOOKUP(AO83, $L$3:$M$26, 2, 0)</f>
        <v>0.666666666666667</v>
      </c>
      <c r="AZ83" s="38" t="n">
        <f aca="false">VLOOKUP(AP83, $L$3:$M$26, 2, 0)</f>
        <v>0.416666666666667</v>
      </c>
      <c r="BA83" s="38" t="n">
        <f aca="false">VLOOKUP(AQ83, $L$3:$M$26, 2, 0)</f>
        <v>0.416666666666667</v>
      </c>
      <c r="BB83" s="38" t="n">
        <f aca="false">VLOOKUP(AR83, $L$3:$M$26, 2, 0)</f>
        <v>0.0833333333333333</v>
      </c>
    </row>
    <row r="84" customFormat="false" ht="12.8" hidden="false" customHeight="false" outlineLevel="0" collapsed="false">
      <c r="AK84" s="36" t="n">
        <v>70</v>
      </c>
      <c r="AL84" s="0" t="n">
        <v>0.1</v>
      </c>
      <c r="AM84" s="0" t="n">
        <v>0.1</v>
      </c>
      <c r="AN84" s="0" t="n">
        <v>9</v>
      </c>
      <c r="AO84" s="0" t="n">
        <v>9</v>
      </c>
      <c r="AP84" s="0" t="n">
        <v>10</v>
      </c>
      <c r="AQ84" s="0" t="n">
        <v>10</v>
      </c>
      <c r="AR84" s="0" t="n">
        <v>11</v>
      </c>
      <c r="AU84" s="37" t="n">
        <v>70</v>
      </c>
      <c r="AV84" s="38" t="n">
        <f aca="false">VLOOKUP(AL84, $L$3:$M$26, 2, 0)</f>
        <v>1</v>
      </c>
      <c r="AW84" s="38" t="n">
        <f aca="false">VLOOKUP(AM84, $L$3:$M$26, 2, 0)</f>
        <v>1</v>
      </c>
      <c r="AX84" s="38" t="n">
        <f aca="false">VLOOKUP(AN84, $L$3:$M$26, 2, 0)</f>
        <v>0.666666666666667</v>
      </c>
      <c r="AY84" s="38" t="n">
        <f aca="false">VLOOKUP(AO84, $L$3:$M$26, 2, 0)</f>
        <v>0.666666666666667</v>
      </c>
      <c r="AZ84" s="38" t="n">
        <f aca="false">VLOOKUP(AP84, $L$3:$M$26, 2, 0)</f>
        <v>0.416666666666667</v>
      </c>
      <c r="BA84" s="38" t="n">
        <f aca="false">VLOOKUP(AQ84, $L$3:$M$26, 2, 0)</f>
        <v>0.416666666666667</v>
      </c>
      <c r="BB84" s="38" t="n">
        <f aca="false">VLOOKUP(AR84, $L$3:$M$26, 2, 0)</f>
        <v>0.0833333333333333</v>
      </c>
    </row>
    <row r="85" customFormat="false" ht="12.8" hidden="false" customHeight="false" outlineLevel="0" collapsed="false">
      <c r="AK85" s="36" t="n">
        <v>71</v>
      </c>
      <c r="AL85" s="0" t="n">
        <v>0.1</v>
      </c>
      <c r="AM85" s="0" t="n">
        <v>4</v>
      </c>
      <c r="AN85" s="0" t="n">
        <v>4</v>
      </c>
      <c r="AO85" s="0" t="n">
        <v>8</v>
      </c>
      <c r="AP85" s="0" t="n">
        <v>9</v>
      </c>
      <c r="AQ85" s="0" t="n">
        <v>10.1</v>
      </c>
      <c r="AR85" s="0" t="n">
        <v>11</v>
      </c>
      <c r="AU85" s="37" t="n">
        <v>71</v>
      </c>
      <c r="AV85" s="38" t="n">
        <f aca="false">VLOOKUP(AL85, $L$3:$M$26, 2, 0)</f>
        <v>1</v>
      </c>
      <c r="AW85" s="38" t="n">
        <f aca="false">VLOOKUP(AM85, $L$3:$M$26, 2, 0)</f>
        <v>0.833333333333333</v>
      </c>
      <c r="AX85" s="38" t="n">
        <f aca="false">VLOOKUP(AN85, $L$3:$M$26, 2, 0)</f>
        <v>0.833333333333333</v>
      </c>
      <c r="AY85" s="38" t="n">
        <f aca="false">VLOOKUP(AO85, $L$3:$M$26, 2, 0)</f>
        <v>0.5</v>
      </c>
      <c r="AZ85" s="38" t="n">
        <f aca="false">VLOOKUP(AP85, $L$3:$M$26, 2, 0)</f>
        <v>0.666666666666667</v>
      </c>
      <c r="BA85" s="38" t="n">
        <f aca="false">VLOOKUP(AQ85, $L$3:$M$26, 2, 0)</f>
        <v>1.417</v>
      </c>
      <c r="BB85" s="38" t="n">
        <f aca="false">VLOOKUP(AR85, $L$3:$M$26, 2, 0)</f>
        <v>0.0833333333333333</v>
      </c>
    </row>
    <row r="86" customFormat="false" ht="12.8" hidden="false" customHeight="false" outlineLevel="0" collapsed="false">
      <c r="AK86" s="36" t="n">
        <v>72</v>
      </c>
      <c r="AL86" s="0" t="n">
        <v>0.1</v>
      </c>
      <c r="AM86" s="0" t="n">
        <v>4</v>
      </c>
      <c r="AN86" s="0" t="n">
        <v>4</v>
      </c>
      <c r="AO86" s="0" t="n">
        <v>8</v>
      </c>
      <c r="AP86" s="0" t="n">
        <v>9</v>
      </c>
      <c r="AQ86" s="0" t="n">
        <v>10.1</v>
      </c>
      <c r="AR86" s="0" t="n">
        <v>11</v>
      </c>
      <c r="AU86" s="37" t="n">
        <v>72</v>
      </c>
      <c r="AV86" s="38" t="n">
        <f aca="false">VLOOKUP(AL86, $L$3:$M$26, 2, 0)</f>
        <v>1</v>
      </c>
      <c r="AW86" s="38" t="n">
        <f aca="false">VLOOKUP(AM86, $L$3:$M$26, 2, 0)</f>
        <v>0.833333333333333</v>
      </c>
      <c r="AX86" s="38" t="n">
        <f aca="false">VLOOKUP(AN86, $L$3:$M$26, 2, 0)</f>
        <v>0.833333333333333</v>
      </c>
      <c r="AY86" s="38" t="n">
        <f aca="false">VLOOKUP(AO86, $L$3:$M$26, 2, 0)</f>
        <v>0.5</v>
      </c>
      <c r="AZ86" s="38" t="n">
        <f aca="false">VLOOKUP(AP86, $L$3:$M$26, 2, 0)</f>
        <v>0.666666666666667</v>
      </c>
      <c r="BA86" s="38" t="n">
        <f aca="false">VLOOKUP(AQ86, $L$3:$M$26, 2, 0)</f>
        <v>1.417</v>
      </c>
      <c r="BB86" s="38" t="n">
        <f aca="false">VLOOKUP(AR86, $L$3:$M$26, 2, 0)</f>
        <v>0.0833333333333333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8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C2" activeCellId="0" sqref="C2"/>
    </sheetView>
  </sheetViews>
  <sheetFormatPr defaultColWidth="11.66015625" defaultRowHeight="12.8" zeroHeight="false" outlineLevelRow="0" outlineLevelCol="0"/>
  <cols>
    <col collapsed="false" customWidth="true" hidden="false" outlineLevel="0" max="7" min="7" style="0" width="8.66"/>
    <col collapsed="false" customWidth="true" hidden="false" outlineLevel="0" max="8" min="8" style="0" width="7.26"/>
    <col collapsed="false" customWidth="true" hidden="false" outlineLevel="0" max="9" min="9" style="0" width="9.13"/>
    <col collapsed="false" customWidth="true" hidden="false" outlineLevel="0" max="10" min="10" style="0" width="7.95"/>
    <col collapsed="false" customWidth="true" hidden="false" outlineLevel="0" max="11" min="11" style="0" width="9.59"/>
    <col collapsed="false" customWidth="true" hidden="false" outlineLevel="0" max="12" min="12" style="0" width="10.97"/>
    <col collapsed="false" customWidth="true" hidden="false" outlineLevel="0" max="13" min="13" style="0" width="8.66"/>
    <col collapsed="false" customWidth="true" hidden="false" outlineLevel="0" max="14" min="14" style="0" width="7.26"/>
    <col collapsed="false" customWidth="true" hidden="false" outlineLevel="0" max="15" min="15" style="0" width="8.19"/>
    <col collapsed="false" customWidth="true" hidden="false" outlineLevel="0" max="16" min="16" style="0" width="9.13"/>
    <col collapsed="false" customWidth="true" hidden="false" outlineLevel="0" max="17" min="17" style="0" width="16.76"/>
    <col collapsed="false" customWidth="true" hidden="false" outlineLevel="0" max="18" min="18" style="39" width="16.76"/>
    <col collapsed="false" customWidth="true" hidden="false" outlineLevel="0" max="19" min="19" style="0" width="16.76"/>
    <col collapsed="false" customWidth="true" hidden="false" outlineLevel="0" max="20" min="20" style="39" width="16.76"/>
    <col collapsed="false" customWidth="true" hidden="false" outlineLevel="0" max="22" min="21" style="0" width="16.76"/>
  </cols>
  <sheetData>
    <row r="1" customFormat="false" ht="12.8" hidden="false" customHeight="false" outlineLevel="0" collapsed="false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40"/>
      <c r="S1" s="36"/>
      <c r="T1" s="40"/>
      <c r="U1" s="36"/>
      <c r="V1" s="36"/>
      <c r="W1" s="36"/>
      <c r="X1" s="36"/>
      <c r="Y1" s="36"/>
    </row>
    <row r="2" customFormat="false" ht="12.8" hidden="false" customHeight="false" outlineLevel="0" collapsed="false">
      <c r="A2" s="36"/>
      <c r="B2" s="36"/>
      <c r="C2" s="36"/>
      <c r="D2" s="36"/>
      <c r="E2" s="36"/>
      <c r="F2" s="36"/>
      <c r="G2" s="36"/>
      <c r="H2" s="36"/>
      <c r="I2" s="36" t="s">
        <v>127</v>
      </c>
      <c r="J2" s="36"/>
      <c r="K2" s="36"/>
      <c r="L2" s="36"/>
      <c r="M2" s="36"/>
      <c r="N2" s="36"/>
      <c r="O2" s="36"/>
      <c r="P2" s="36"/>
      <c r="Q2" s="36"/>
      <c r="R2" s="40"/>
      <c r="S2" s="36"/>
      <c r="T2" s="40"/>
      <c r="U2" s="36"/>
      <c r="V2" s="36"/>
      <c r="W2" s="36"/>
      <c r="X2" s="36"/>
      <c r="Y2" s="36"/>
    </row>
    <row r="3" customFormat="false" ht="12.8" hidden="false" customHeight="false" outlineLevel="0" collapsed="false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40"/>
      <c r="S3" s="36"/>
      <c r="T3" s="40"/>
      <c r="U3" s="36"/>
      <c r="V3" s="36"/>
      <c r="W3" s="36"/>
      <c r="X3" s="36"/>
      <c r="Y3" s="36"/>
    </row>
    <row r="4" customFormat="false" ht="12.8" hidden="false" customHeight="false" outlineLevel="0" collapsed="false">
      <c r="A4" s="36" t="s">
        <v>95</v>
      </c>
      <c r="B4" s="36" t="s">
        <v>108</v>
      </c>
      <c r="C4" s="36" t="s">
        <v>96</v>
      </c>
      <c r="D4" s="36" t="s">
        <v>97</v>
      </c>
      <c r="E4" s="36" t="s">
        <v>98</v>
      </c>
      <c r="F4" s="36" t="s">
        <v>99</v>
      </c>
      <c r="G4" s="36" t="s">
        <v>133</v>
      </c>
      <c r="H4" s="36" t="s">
        <v>134</v>
      </c>
      <c r="I4" s="36" t="s">
        <v>135</v>
      </c>
      <c r="J4" s="36" t="s">
        <v>136</v>
      </c>
      <c r="K4" s="36" t="s">
        <v>137</v>
      </c>
      <c r="L4" s="36" t="s">
        <v>138</v>
      </c>
      <c r="M4" s="36" t="s">
        <v>121</v>
      </c>
      <c r="N4" s="36" t="s">
        <v>122</v>
      </c>
      <c r="O4" s="36" t="s">
        <v>124</v>
      </c>
      <c r="P4" s="36" t="s">
        <v>114</v>
      </c>
      <c r="Q4" s="36" t="s">
        <v>115</v>
      </c>
      <c r="R4" s="40" t="s">
        <v>116</v>
      </c>
      <c r="S4" s="36" t="s">
        <v>117</v>
      </c>
      <c r="T4" s="40" t="s">
        <v>118</v>
      </c>
      <c r="U4" s="36" t="s">
        <v>119</v>
      </c>
      <c r="V4" s="36" t="s">
        <v>120</v>
      </c>
      <c r="W4" s="36"/>
      <c r="X4" s="36"/>
      <c r="Y4" s="36"/>
    </row>
    <row r="5" customFormat="false" ht="12.8" hidden="false" customHeight="false" outlineLevel="0" collapsed="false">
      <c r="A5" s="0" t="n">
        <v>1</v>
      </c>
      <c r="B5" s="0" t="n">
        <v>6</v>
      </c>
      <c r="C5" s="0" t="n">
        <v>2.1</v>
      </c>
      <c r="D5" s="0" t="n">
        <v>0.1</v>
      </c>
      <c r="E5" s="0" t="n">
        <v>1.1</v>
      </c>
      <c r="F5" s="0" t="n">
        <v>0.1</v>
      </c>
      <c r="G5" s="0" t="n">
        <v>5</v>
      </c>
      <c r="H5" s="0" t="n">
        <v>5</v>
      </c>
      <c r="I5" s="0" t="n">
        <v>5</v>
      </c>
      <c r="J5" s="0" t="n">
        <v>5</v>
      </c>
      <c r="K5" s="0" t="n">
        <v>8</v>
      </c>
      <c r="P5" s="0" t="n">
        <v>0</v>
      </c>
      <c r="Q5" s="0" t="n">
        <v>0.583333333333333</v>
      </c>
      <c r="R5" s="39" t="n">
        <v>0.333333333333333</v>
      </c>
      <c r="S5" s="0" t="n">
        <v>0.333333333333333</v>
      </c>
      <c r="T5" s="39" t="n">
        <v>0.166666666666667</v>
      </c>
      <c r="U5" s="0" t="n">
        <v>0.916666666666667</v>
      </c>
      <c r="V5" s="0" t="n">
        <v>1.5</v>
      </c>
    </row>
    <row r="6" customFormat="false" ht="12.8" hidden="false" customHeight="false" outlineLevel="0" collapsed="false">
      <c r="A6" s="0" t="n">
        <v>1.5</v>
      </c>
      <c r="B6" s="0" t="n">
        <v>6</v>
      </c>
      <c r="C6" s="0" t="n">
        <v>2.1</v>
      </c>
      <c r="D6" s="0" t="n">
        <v>0.1</v>
      </c>
      <c r="E6" s="0" t="n">
        <v>1.1</v>
      </c>
      <c r="F6" s="0" t="n">
        <v>0.1</v>
      </c>
      <c r="G6" s="0" t="n">
        <v>5</v>
      </c>
      <c r="H6" s="0" t="n">
        <v>5</v>
      </c>
      <c r="I6" s="0" t="n">
        <v>5</v>
      </c>
      <c r="J6" s="0" t="n">
        <v>5</v>
      </c>
      <c r="K6" s="0" t="n">
        <v>8</v>
      </c>
      <c r="P6" s="0" t="n">
        <v>0</v>
      </c>
      <c r="Q6" s="0" t="n">
        <v>0.583333333333333</v>
      </c>
      <c r="R6" s="39" t="n">
        <v>0.333333333333333</v>
      </c>
      <c r="S6" s="0" t="n">
        <v>0.333333333333333</v>
      </c>
      <c r="T6" s="39" t="n">
        <v>0.166666666666667</v>
      </c>
      <c r="U6" s="0" t="n">
        <v>0.916666666666667</v>
      </c>
      <c r="V6" s="0" t="n">
        <v>1.5</v>
      </c>
    </row>
    <row r="7" customFormat="false" ht="12.8" hidden="false" customHeight="false" outlineLevel="0" collapsed="false">
      <c r="A7" s="0" t="n">
        <v>3</v>
      </c>
      <c r="B7" s="0" t="n">
        <v>7</v>
      </c>
      <c r="C7" s="0" t="n">
        <v>6.1</v>
      </c>
      <c r="D7" s="0" t="n">
        <v>0.1</v>
      </c>
      <c r="E7" s="0" t="n">
        <v>0.1</v>
      </c>
      <c r="F7" s="0" t="n">
        <v>0.1</v>
      </c>
      <c r="G7" s="0" t="n">
        <v>5</v>
      </c>
      <c r="H7" s="0" t="n">
        <v>5</v>
      </c>
      <c r="I7" s="0" t="n">
        <v>5</v>
      </c>
      <c r="J7" s="0" t="n">
        <v>5</v>
      </c>
      <c r="K7" s="0" t="n">
        <v>8</v>
      </c>
      <c r="L7" s="0" t="n">
        <v>5</v>
      </c>
      <c r="P7" s="0" t="n">
        <v>0</v>
      </c>
      <c r="Q7" s="0" t="n">
        <v>0.583333333333333</v>
      </c>
      <c r="R7" s="39" t="n">
        <v>0.333333333333333</v>
      </c>
      <c r="S7" s="0" t="n">
        <v>0.166666666666667</v>
      </c>
      <c r="T7" s="39" t="n">
        <v>0.75</v>
      </c>
      <c r="U7" s="0" t="n">
        <v>0.916666666666667</v>
      </c>
      <c r="V7" s="0" t="n">
        <v>1.5</v>
      </c>
    </row>
    <row r="8" customFormat="false" ht="12.8" hidden="false" customHeight="false" outlineLevel="0" collapsed="false">
      <c r="A8" s="0" t="n">
        <v>3.5</v>
      </c>
      <c r="B8" s="0" t="n">
        <v>7</v>
      </c>
      <c r="C8" s="0" t="n">
        <v>6.1</v>
      </c>
      <c r="D8" s="0" t="n">
        <v>0.1</v>
      </c>
      <c r="E8" s="0" t="n">
        <v>0.1</v>
      </c>
      <c r="F8" s="0" t="n">
        <v>0.1</v>
      </c>
      <c r="G8" s="0" t="n">
        <v>5</v>
      </c>
      <c r="H8" s="0" t="n">
        <v>5</v>
      </c>
      <c r="I8" s="0" t="n">
        <v>5</v>
      </c>
      <c r="J8" s="0" t="n">
        <v>5</v>
      </c>
      <c r="K8" s="0" t="n">
        <v>8</v>
      </c>
      <c r="L8" s="0" t="n">
        <v>5</v>
      </c>
      <c r="P8" s="0" t="n">
        <v>0</v>
      </c>
      <c r="Q8" s="0" t="n">
        <v>0.583333333333333</v>
      </c>
      <c r="R8" s="39" t="n">
        <v>0.333333333333333</v>
      </c>
      <c r="S8" s="0" t="n">
        <v>0.166666666666667</v>
      </c>
      <c r="T8" s="39" t="n">
        <v>0.75</v>
      </c>
      <c r="U8" s="0" t="n">
        <v>0.916666666666667</v>
      </c>
      <c r="V8" s="0" t="n">
        <v>1.5</v>
      </c>
    </row>
    <row r="9" customFormat="false" ht="12.8" hidden="false" customHeight="false" outlineLevel="0" collapsed="false">
      <c r="A9" s="0" t="n">
        <v>4</v>
      </c>
      <c r="B9" s="0" t="n">
        <v>4</v>
      </c>
      <c r="C9" s="0" t="n">
        <v>1.1</v>
      </c>
      <c r="D9" s="0" t="n">
        <v>0.1</v>
      </c>
      <c r="E9" s="0" t="n">
        <v>1.1</v>
      </c>
      <c r="F9" s="0" t="n">
        <v>0.1</v>
      </c>
      <c r="G9" s="0" t="n">
        <v>5</v>
      </c>
      <c r="H9" s="0" t="n">
        <v>5</v>
      </c>
      <c r="I9" s="0" t="n">
        <v>5</v>
      </c>
      <c r="P9" s="0" t="n">
        <v>0</v>
      </c>
      <c r="Q9" s="0" t="n">
        <v>0</v>
      </c>
      <c r="R9" s="39" t="n">
        <v>0.583333333333333</v>
      </c>
      <c r="S9" s="39" t="n">
        <v>0.333333333333333</v>
      </c>
      <c r="T9" s="0" t="n">
        <v>0.333333333333333</v>
      </c>
      <c r="U9" s="0" t="n">
        <v>0.916666666666667</v>
      </c>
      <c r="V9" s="0" t="n">
        <v>0.916666666666667</v>
      </c>
    </row>
    <row r="10" customFormat="false" ht="12.8" hidden="false" customHeight="false" outlineLevel="0" collapsed="false">
      <c r="A10" s="0" t="n">
        <v>4.5</v>
      </c>
      <c r="B10" s="0" t="n">
        <v>4</v>
      </c>
      <c r="C10" s="0" t="n">
        <v>1.1</v>
      </c>
      <c r="D10" s="0" t="n">
        <v>0.1</v>
      </c>
      <c r="E10" s="0" t="n">
        <v>1.1</v>
      </c>
      <c r="F10" s="0" t="n">
        <v>0.1</v>
      </c>
      <c r="G10" s="0" t="n">
        <v>5</v>
      </c>
      <c r="H10" s="0" t="n">
        <v>5</v>
      </c>
      <c r="I10" s="0" t="n">
        <v>5</v>
      </c>
      <c r="P10" s="0" t="n">
        <v>0</v>
      </c>
      <c r="Q10" s="0" t="n">
        <v>0</v>
      </c>
      <c r="R10" s="39" t="n">
        <v>0.583333333333333</v>
      </c>
      <c r="S10" s="39" t="n">
        <v>0.333333333333333</v>
      </c>
      <c r="T10" s="0" t="n">
        <v>0.333333333333333</v>
      </c>
      <c r="U10" s="0" t="n">
        <v>0.916666666666667</v>
      </c>
      <c r="V10" s="0" t="n">
        <v>0.916666666666667</v>
      </c>
    </row>
    <row r="11" customFormat="false" ht="12.8" hidden="false" customHeight="false" outlineLevel="0" collapsed="false">
      <c r="A11" s="0" t="n">
        <v>6</v>
      </c>
      <c r="B11" s="0" t="n">
        <v>6</v>
      </c>
      <c r="C11" s="0" t="n">
        <v>5.1</v>
      </c>
      <c r="D11" s="0" t="n">
        <v>0.1</v>
      </c>
      <c r="E11" s="0" t="n">
        <v>0.1</v>
      </c>
      <c r="F11" s="0" t="n">
        <v>0.1</v>
      </c>
      <c r="G11" s="0" t="n">
        <v>5</v>
      </c>
      <c r="H11" s="0" t="n">
        <v>5</v>
      </c>
      <c r="I11" s="0" t="n">
        <v>5</v>
      </c>
      <c r="J11" s="0" t="n">
        <v>5</v>
      </c>
      <c r="L11" s="0" t="n">
        <v>5</v>
      </c>
      <c r="P11" s="0" t="n">
        <v>0</v>
      </c>
      <c r="Q11" s="0" t="n">
        <v>0.583333333333333</v>
      </c>
      <c r="R11" s="39" t="n">
        <v>0.333333333333333</v>
      </c>
      <c r="S11" s="0" t="n">
        <v>0.333333333333333</v>
      </c>
      <c r="T11" s="39" t="n">
        <v>0.166666666666667</v>
      </c>
      <c r="U11" s="0" t="n">
        <v>0.75</v>
      </c>
      <c r="V11" s="0" t="n">
        <v>0.916666666666667</v>
      </c>
    </row>
    <row r="12" customFormat="false" ht="12.8" hidden="false" customHeight="false" outlineLevel="0" collapsed="false">
      <c r="A12" s="0" t="n">
        <v>6.5</v>
      </c>
      <c r="B12" s="0" t="n">
        <v>6</v>
      </c>
      <c r="C12" s="0" t="n">
        <v>5.1</v>
      </c>
      <c r="D12" s="0" t="n">
        <v>0.1</v>
      </c>
      <c r="E12" s="0" t="n">
        <v>0.1</v>
      </c>
      <c r="F12" s="0" t="n">
        <v>0.1</v>
      </c>
      <c r="G12" s="0" t="n">
        <v>5</v>
      </c>
      <c r="H12" s="0" t="n">
        <v>5</v>
      </c>
      <c r="I12" s="0" t="n">
        <v>5</v>
      </c>
      <c r="J12" s="0" t="n">
        <v>5</v>
      </c>
      <c r="L12" s="0" t="n">
        <v>5</v>
      </c>
      <c r="P12" s="0" t="n">
        <v>0</v>
      </c>
      <c r="Q12" s="0" t="n">
        <v>0.583333333333333</v>
      </c>
      <c r="R12" s="39" t="n">
        <v>0.333333333333333</v>
      </c>
      <c r="S12" s="0" t="n">
        <v>0.333333333333333</v>
      </c>
      <c r="T12" s="39" t="n">
        <v>0.166666666666667</v>
      </c>
      <c r="U12" s="0" t="n">
        <v>0.75</v>
      </c>
      <c r="V12" s="0" t="n">
        <v>0.916666666666667</v>
      </c>
    </row>
    <row r="13" customFormat="false" ht="12.8" hidden="false" customHeight="false" outlineLevel="0" collapsed="false">
      <c r="A13" s="0" t="n">
        <v>8</v>
      </c>
      <c r="B13" s="0" t="n">
        <v>7</v>
      </c>
      <c r="C13" s="0" t="n">
        <v>5.1</v>
      </c>
      <c r="D13" s="0" t="n">
        <v>2.1</v>
      </c>
      <c r="E13" s="0" t="n">
        <v>0.1</v>
      </c>
      <c r="F13" s="0" t="n">
        <v>0.1</v>
      </c>
      <c r="G13" s="0" t="n">
        <v>5</v>
      </c>
      <c r="H13" s="0" t="n">
        <v>5</v>
      </c>
      <c r="I13" s="0" t="n">
        <v>5</v>
      </c>
      <c r="J13" s="0" t="n">
        <v>5</v>
      </c>
      <c r="K13" s="0" t="n">
        <v>5</v>
      </c>
      <c r="L13" s="0" t="n">
        <v>5</v>
      </c>
      <c r="P13" s="0" t="n">
        <v>0</v>
      </c>
      <c r="Q13" s="0" t="n">
        <v>0.583333333333333</v>
      </c>
      <c r="R13" s="39" t="n">
        <v>1.333</v>
      </c>
      <c r="S13" s="0" t="n">
        <v>0.166666666666667</v>
      </c>
      <c r="T13" s="39" t="n">
        <v>0.75</v>
      </c>
      <c r="U13" s="0" t="n">
        <v>0.916666666666667</v>
      </c>
      <c r="V13" s="0" t="n">
        <v>0.416666666666667</v>
      </c>
    </row>
    <row r="14" customFormat="false" ht="12.8" hidden="false" customHeight="false" outlineLevel="0" collapsed="false">
      <c r="A14" s="0" t="n">
        <v>8.5</v>
      </c>
      <c r="B14" s="0" t="n">
        <v>7</v>
      </c>
      <c r="C14" s="0" t="n">
        <v>5.1</v>
      </c>
      <c r="D14" s="0" t="n">
        <v>2.1</v>
      </c>
      <c r="E14" s="0" t="n">
        <v>0.1</v>
      </c>
      <c r="F14" s="0" t="n">
        <v>0.1</v>
      </c>
      <c r="G14" s="0" t="n">
        <v>5</v>
      </c>
      <c r="H14" s="0" t="n">
        <v>5</v>
      </c>
      <c r="I14" s="0" t="n">
        <v>5</v>
      </c>
      <c r="J14" s="0" t="n">
        <v>5</v>
      </c>
      <c r="K14" s="0" t="n">
        <v>5</v>
      </c>
      <c r="L14" s="0" t="n">
        <v>5</v>
      </c>
      <c r="P14" s="0" t="n">
        <v>0</v>
      </c>
      <c r="Q14" s="0" t="n">
        <v>0.583333333333333</v>
      </c>
      <c r="R14" s="39" t="n">
        <v>1.333</v>
      </c>
      <c r="S14" s="0" t="n">
        <v>0.166666666666667</v>
      </c>
      <c r="T14" s="39" t="n">
        <v>0.75</v>
      </c>
      <c r="U14" s="0" t="n">
        <v>0.916666666666667</v>
      </c>
      <c r="V14" s="0" t="n">
        <v>0.416666666666667</v>
      </c>
    </row>
    <row r="15" customFormat="false" ht="12.8" hidden="false" customHeight="false" outlineLevel="0" collapsed="false">
      <c r="A15" s="0" t="n">
        <v>9</v>
      </c>
      <c r="B15" s="0" t="n">
        <v>6</v>
      </c>
      <c r="C15" s="0" t="n">
        <v>1.1</v>
      </c>
      <c r="D15" s="0" t="n">
        <v>2.1</v>
      </c>
      <c r="E15" s="0" t="n">
        <v>1.1</v>
      </c>
      <c r="F15" s="0" t="n">
        <v>0.1</v>
      </c>
      <c r="G15" s="0" t="n">
        <v>5</v>
      </c>
      <c r="H15" s="0" t="n">
        <v>5</v>
      </c>
      <c r="I15" s="0" t="n">
        <v>5</v>
      </c>
      <c r="K15" s="0" t="n">
        <v>5</v>
      </c>
      <c r="L15" s="0" t="n">
        <v>5</v>
      </c>
      <c r="P15" s="0" t="n">
        <v>0</v>
      </c>
      <c r="Q15" s="0" t="n">
        <v>0.583333333333333</v>
      </c>
      <c r="R15" s="0" t="n">
        <v>1.333</v>
      </c>
      <c r="S15" s="0" t="n">
        <v>1.333</v>
      </c>
      <c r="T15" s="39" t="n">
        <v>0.75</v>
      </c>
      <c r="U15" s="0" t="n">
        <v>0.916666666666667</v>
      </c>
      <c r="V15" s="0" t="n">
        <v>0.416666666666667</v>
      </c>
    </row>
    <row r="16" customFormat="false" ht="12.8" hidden="false" customHeight="false" outlineLevel="0" collapsed="false">
      <c r="A16" s="0" t="n">
        <v>9.5</v>
      </c>
      <c r="B16" s="0" t="n">
        <v>6</v>
      </c>
      <c r="C16" s="0" t="n">
        <v>1.1</v>
      </c>
      <c r="D16" s="0" t="n">
        <v>2.1</v>
      </c>
      <c r="E16" s="0" t="n">
        <v>1.1</v>
      </c>
      <c r="F16" s="0" t="n">
        <v>0.1</v>
      </c>
      <c r="G16" s="0" t="n">
        <v>5</v>
      </c>
      <c r="H16" s="0" t="n">
        <v>5</v>
      </c>
      <c r="I16" s="0" t="n">
        <v>5</v>
      </c>
      <c r="K16" s="0" t="n">
        <v>5</v>
      </c>
      <c r="L16" s="0" t="n">
        <v>5</v>
      </c>
      <c r="P16" s="0" t="n">
        <v>0</v>
      </c>
      <c r="Q16" s="0" t="n">
        <v>0.583333333333333</v>
      </c>
      <c r="R16" s="0" t="n">
        <v>1.333</v>
      </c>
      <c r="S16" s="0" t="n">
        <v>1.333</v>
      </c>
      <c r="T16" s="39" t="n">
        <v>0.75</v>
      </c>
      <c r="U16" s="0" t="n">
        <v>0.916666666666667</v>
      </c>
      <c r="V16" s="0" t="n">
        <v>0.416666666666667</v>
      </c>
    </row>
    <row r="17" customFormat="false" ht="12.8" hidden="false" customHeight="false" outlineLevel="0" collapsed="false">
      <c r="A17" s="0" t="n">
        <v>11</v>
      </c>
      <c r="B17" s="0" t="n">
        <v>5</v>
      </c>
      <c r="C17" s="0" t="n">
        <v>4.1</v>
      </c>
      <c r="D17" s="0" t="n">
        <v>0.1</v>
      </c>
      <c r="E17" s="0" t="n">
        <v>0.1</v>
      </c>
      <c r="F17" s="0" t="n">
        <v>0.1</v>
      </c>
      <c r="G17" s="0" t="n">
        <v>5</v>
      </c>
      <c r="H17" s="0" t="n">
        <v>5</v>
      </c>
      <c r="J17" s="0" t="n">
        <v>5</v>
      </c>
      <c r="L17" s="0" t="n">
        <v>5</v>
      </c>
      <c r="P17" s="0" t="n">
        <v>0</v>
      </c>
      <c r="Q17" s="0" t="n">
        <v>0.583333333333333</v>
      </c>
      <c r="R17" s="0" t="n">
        <v>0.333333333333333</v>
      </c>
      <c r="S17" s="0" t="n">
        <v>0.333333333333333</v>
      </c>
      <c r="T17" s="39" t="n">
        <v>0.166666666666667</v>
      </c>
      <c r="U17" s="0" t="n">
        <v>0.75</v>
      </c>
      <c r="V17" s="0" t="n">
        <v>0.75</v>
      </c>
    </row>
    <row r="18" customFormat="false" ht="12.8" hidden="false" customHeight="false" outlineLevel="0" collapsed="false">
      <c r="A18" s="0" t="n">
        <v>11.5</v>
      </c>
      <c r="B18" s="0" t="n">
        <v>5</v>
      </c>
      <c r="C18" s="0" t="n">
        <v>4.1</v>
      </c>
      <c r="D18" s="0" t="n">
        <v>0.1</v>
      </c>
      <c r="E18" s="0" t="n">
        <v>0.1</v>
      </c>
      <c r="F18" s="0" t="n">
        <v>0.1</v>
      </c>
      <c r="G18" s="0" t="n">
        <v>5</v>
      </c>
      <c r="H18" s="0" t="n">
        <v>5</v>
      </c>
      <c r="J18" s="0" t="n">
        <v>5</v>
      </c>
      <c r="L18" s="0" t="n">
        <v>5</v>
      </c>
      <c r="P18" s="0" t="n">
        <v>0</v>
      </c>
      <c r="Q18" s="0" t="n">
        <v>0.583333333333333</v>
      </c>
      <c r="R18" s="0" t="n">
        <v>0.333333333333333</v>
      </c>
      <c r="S18" s="0" t="n">
        <v>0.333333333333333</v>
      </c>
      <c r="T18" s="39" t="n">
        <v>0.166666666666667</v>
      </c>
      <c r="U18" s="0" t="n">
        <v>0.75</v>
      </c>
      <c r="V18" s="0" t="n">
        <v>0.75</v>
      </c>
    </row>
    <row r="19" customFormat="false" ht="12.8" hidden="false" customHeight="false" outlineLevel="0" collapsed="false">
      <c r="A19" s="0" t="n">
        <v>13</v>
      </c>
      <c r="B19" s="0" t="n">
        <v>4</v>
      </c>
      <c r="C19" s="0" t="n">
        <v>0.1</v>
      </c>
      <c r="D19" s="0" t="n">
        <v>2.1</v>
      </c>
      <c r="E19" s="0" t="n">
        <v>1.1</v>
      </c>
      <c r="F19" s="0" t="n">
        <v>0.1</v>
      </c>
      <c r="G19" s="0" t="n">
        <v>5</v>
      </c>
      <c r="K19" s="0" t="n">
        <v>5</v>
      </c>
      <c r="L19" s="0" t="n">
        <v>5</v>
      </c>
      <c r="P19" s="0" t="n">
        <v>0.416666666666667</v>
      </c>
      <c r="Q19" s="0" t="n">
        <v>0.416666666666667</v>
      </c>
      <c r="R19" s="39" t="n">
        <v>0</v>
      </c>
      <c r="S19" s="39" t="n">
        <v>0.75</v>
      </c>
      <c r="T19" s="39" t="n">
        <v>0.75</v>
      </c>
      <c r="U19" s="39" t="n">
        <v>1.333</v>
      </c>
      <c r="V19" s="39" t="n">
        <v>1.333</v>
      </c>
    </row>
    <row r="20" customFormat="false" ht="12.8" hidden="false" customHeight="false" outlineLevel="0" collapsed="false">
      <c r="A20" s="0" t="n">
        <v>13.5</v>
      </c>
      <c r="B20" s="0" t="n">
        <v>4</v>
      </c>
      <c r="C20" s="0" t="n">
        <v>0.1</v>
      </c>
      <c r="D20" s="0" t="n">
        <v>2.1</v>
      </c>
      <c r="E20" s="0" t="n">
        <v>1.1</v>
      </c>
      <c r="F20" s="0" t="n">
        <v>0.1</v>
      </c>
      <c r="G20" s="0" t="n">
        <v>5</v>
      </c>
      <c r="K20" s="0" t="n">
        <v>5</v>
      </c>
      <c r="L20" s="0" t="n">
        <v>5</v>
      </c>
      <c r="P20" s="0" t="n">
        <v>0.416666666666667</v>
      </c>
      <c r="Q20" s="0" t="n">
        <v>0.416666666666667</v>
      </c>
      <c r="R20" s="39" t="n">
        <v>0</v>
      </c>
      <c r="S20" s="39" t="n">
        <v>0.75</v>
      </c>
      <c r="T20" s="39" t="n">
        <v>0.75</v>
      </c>
      <c r="U20" s="39" t="n">
        <v>1.333</v>
      </c>
      <c r="V20" s="39" t="n">
        <v>1.333</v>
      </c>
    </row>
    <row r="21" customFormat="false" ht="12.8" hidden="false" customHeight="false" outlineLevel="0" collapsed="false">
      <c r="A21" s="0" t="n">
        <v>14</v>
      </c>
      <c r="B21" s="0" t="n">
        <v>6</v>
      </c>
      <c r="C21" s="0" t="n">
        <v>4.1</v>
      </c>
      <c r="D21" s="0" t="n">
        <v>2.1</v>
      </c>
      <c r="E21" s="0" t="n">
        <v>0.1</v>
      </c>
      <c r="F21" s="0" t="n">
        <v>0.1</v>
      </c>
      <c r="G21" s="0" t="n">
        <v>5</v>
      </c>
      <c r="H21" s="0" t="n">
        <v>5</v>
      </c>
      <c r="J21" s="0" t="n">
        <v>5</v>
      </c>
      <c r="K21" s="0" t="n">
        <v>5</v>
      </c>
      <c r="L21" s="0" t="n">
        <v>5</v>
      </c>
      <c r="P21" s="0" t="n">
        <v>0</v>
      </c>
      <c r="Q21" s="0" t="n">
        <v>0.583333333333333</v>
      </c>
      <c r="R21" s="39" t="n">
        <v>1.333</v>
      </c>
      <c r="S21" s="0" t="n">
        <v>0.166666666666667</v>
      </c>
      <c r="T21" s="39" t="n">
        <v>0.75</v>
      </c>
      <c r="U21" s="0" t="n">
        <v>0.75</v>
      </c>
      <c r="V21" s="0" t="n">
        <v>0.416666666666667</v>
      </c>
    </row>
    <row r="22" customFormat="false" ht="12.8" hidden="false" customHeight="false" outlineLevel="0" collapsed="false">
      <c r="A22" s="0" t="n">
        <v>14.5</v>
      </c>
      <c r="B22" s="0" t="n">
        <v>6</v>
      </c>
      <c r="C22" s="0" t="n">
        <v>4.1</v>
      </c>
      <c r="D22" s="0" t="n">
        <v>2.1</v>
      </c>
      <c r="E22" s="0" t="n">
        <v>0.1</v>
      </c>
      <c r="F22" s="0" t="n">
        <v>0.1</v>
      </c>
      <c r="G22" s="0" t="n">
        <v>5</v>
      </c>
      <c r="H22" s="0" t="n">
        <v>5</v>
      </c>
      <c r="J22" s="0" t="n">
        <v>5</v>
      </c>
      <c r="K22" s="0" t="n">
        <v>5</v>
      </c>
      <c r="L22" s="0" t="n">
        <v>5</v>
      </c>
      <c r="P22" s="0" t="n">
        <v>0</v>
      </c>
      <c r="Q22" s="0" t="n">
        <v>0.583333333333333</v>
      </c>
      <c r="R22" s="39" t="n">
        <v>1.333</v>
      </c>
      <c r="S22" s="0" t="n">
        <v>0.166666666666667</v>
      </c>
      <c r="T22" s="39" t="n">
        <v>0.75</v>
      </c>
      <c r="U22" s="0" t="n">
        <v>0.75</v>
      </c>
      <c r="V22" s="0" t="n">
        <v>0.416666666666667</v>
      </c>
    </row>
    <row r="23" customFormat="false" ht="12.8" hidden="false" customHeight="true" outlineLevel="0" collapsed="false">
      <c r="A23" s="0" t="n">
        <v>15</v>
      </c>
      <c r="B23" s="0" t="n">
        <v>6</v>
      </c>
      <c r="C23" s="0" t="n">
        <v>3.1</v>
      </c>
      <c r="D23" s="0" t="n">
        <v>4.1</v>
      </c>
      <c r="E23" s="0" t="n">
        <v>0.1</v>
      </c>
      <c r="F23" s="0" t="n">
        <v>0.1</v>
      </c>
      <c r="G23" s="0" t="n">
        <v>5</v>
      </c>
      <c r="H23" s="0" t="n">
        <v>5</v>
      </c>
      <c r="I23" s="0" t="n">
        <v>2</v>
      </c>
      <c r="J23" s="0" t="n">
        <v>5</v>
      </c>
      <c r="L23" s="0" t="n">
        <v>5</v>
      </c>
      <c r="P23" s="0" t="n">
        <v>0</v>
      </c>
      <c r="Q23" s="39" t="n">
        <v>0.583333333333333</v>
      </c>
      <c r="R23" s="0" t="n">
        <v>0.333333333333333</v>
      </c>
      <c r="S23" s="0" t="n">
        <v>0.333333333333333</v>
      </c>
      <c r="T23" s="39" t="n">
        <v>0.833333333333333</v>
      </c>
      <c r="U23" s="0" t="n">
        <v>0.166666666666667</v>
      </c>
      <c r="V23" s="0" t="n">
        <v>1.75</v>
      </c>
    </row>
    <row r="24" customFormat="false" ht="12.8" hidden="false" customHeight="false" outlineLevel="0" collapsed="false">
      <c r="A24" s="0" t="n">
        <v>15.5</v>
      </c>
      <c r="B24" s="0" t="n">
        <v>6</v>
      </c>
      <c r="C24" s="0" t="n">
        <v>3.1</v>
      </c>
      <c r="D24" s="0" t="n">
        <v>4.1</v>
      </c>
      <c r="E24" s="0" t="n">
        <v>0.1</v>
      </c>
      <c r="F24" s="0" t="n">
        <v>0.1</v>
      </c>
      <c r="G24" s="0" t="n">
        <v>5</v>
      </c>
      <c r="H24" s="0" t="n">
        <v>5</v>
      </c>
      <c r="I24" s="0" t="n">
        <v>2</v>
      </c>
      <c r="J24" s="0" t="n">
        <v>5</v>
      </c>
      <c r="L24" s="0" t="n">
        <v>5</v>
      </c>
      <c r="P24" s="0" t="n">
        <v>0</v>
      </c>
      <c r="Q24" s="39" t="n">
        <v>0.583333333333333</v>
      </c>
      <c r="R24" s="0" t="n">
        <v>0.333333333333333</v>
      </c>
      <c r="S24" s="0" t="n">
        <v>0.333333333333333</v>
      </c>
      <c r="T24" s="39" t="n">
        <v>0.833333333333333</v>
      </c>
      <c r="U24" s="0" t="n">
        <v>0.166666666666667</v>
      </c>
      <c r="V24" s="0" t="n">
        <v>1.75</v>
      </c>
    </row>
    <row r="25" customFormat="false" ht="12.8" hidden="false" customHeight="false" outlineLevel="0" collapsed="false">
      <c r="A25" s="0" t="n">
        <v>16</v>
      </c>
      <c r="B25" s="0" t="n">
        <v>6</v>
      </c>
      <c r="C25" s="0" t="n">
        <v>0.1</v>
      </c>
      <c r="D25" s="0" t="n">
        <v>4.1</v>
      </c>
      <c r="E25" s="0" t="n">
        <v>1.1</v>
      </c>
      <c r="F25" s="0" t="n">
        <v>0.1</v>
      </c>
      <c r="G25" s="0" t="n">
        <v>5</v>
      </c>
      <c r="I25" s="0" t="n">
        <v>2</v>
      </c>
      <c r="J25" s="0" t="n">
        <v>5</v>
      </c>
      <c r="K25" s="0" t="n">
        <v>5</v>
      </c>
      <c r="L25" s="0" t="n">
        <v>5</v>
      </c>
      <c r="P25" s="0" t="n">
        <v>0</v>
      </c>
      <c r="Q25" s="0" t="n">
        <v>1.333</v>
      </c>
      <c r="R25" s="39" t="n">
        <v>0.833333333333333</v>
      </c>
      <c r="S25" s="0" t="n">
        <v>0.166666666666667</v>
      </c>
      <c r="T25" s="39" t="n">
        <v>0.166666666666667</v>
      </c>
      <c r="U25" s="0" t="n">
        <v>1.75</v>
      </c>
      <c r="V25" s="0" t="n">
        <v>0.416666666666667</v>
      </c>
    </row>
    <row r="26" customFormat="false" ht="12.8" hidden="false" customHeight="false" outlineLevel="0" collapsed="false">
      <c r="A26" s="0" t="n">
        <v>16.5</v>
      </c>
      <c r="B26" s="0" t="n">
        <v>6</v>
      </c>
      <c r="C26" s="0" t="n">
        <v>0.1</v>
      </c>
      <c r="D26" s="0" t="n">
        <v>4.1</v>
      </c>
      <c r="E26" s="0" t="n">
        <v>1.1</v>
      </c>
      <c r="F26" s="0" t="n">
        <v>0.1</v>
      </c>
      <c r="G26" s="0" t="n">
        <v>5</v>
      </c>
      <c r="I26" s="0" t="n">
        <v>2</v>
      </c>
      <c r="J26" s="0" t="n">
        <v>5</v>
      </c>
      <c r="K26" s="0" t="n">
        <v>5</v>
      </c>
      <c r="L26" s="0" t="n">
        <v>5</v>
      </c>
      <c r="P26" s="0" t="n">
        <v>0</v>
      </c>
      <c r="Q26" s="0" t="n">
        <v>1.333</v>
      </c>
      <c r="R26" s="39" t="n">
        <v>0.833333333333333</v>
      </c>
      <c r="S26" s="0" t="n">
        <v>0.166666666666667</v>
      </c>
      <c r="T26" s="39" t="n">
        <v>0.166666666666667</v>
      </c>
      <c r="U26" s="0" t="n">
        <v>1.75</v>
      </c>
      <c r="V26" s="0" t="n">
        <v>0.416666666666667</v>
      </c>
    </row>
    <row r="27" customFormat="false" ht="12.8" hidden="false" customHeight="false" outlineLevel="0" collapsed="false">
      <c r="A27" s="0" t="n">
        <v>18</v>
      </c>
      <c r="B27" s="0" t="n">
        <v>7</v>
      </c>
      <c r="C27" s="0" t="n">
        <v>4.1</v>
      </c>
      <c r="D27" s="0" t="n">
        <v>4.1</v>
      </c>
      <c r="E27" s="0" t="n">
        <v>0.1</v>
      </c>
      <c r="F27" s="0" t="n">
        <v>0.1</v>
      </c>
      <c r="G27" s="0" t="n">
        <v>5</v>
      </c>
      <c r="H27" s="0" t="n">
        <v>5</v>
      </c>
      <c r="I27" s="0" t="n">
        <v>2</v>
      </c>
      <c r="J27" s="0" t="n">
        <v>5</v>
      </c>
      <c r="K27" s="0" t="n">
        <v>5</v>
      </c>
      <c r="L27" s="0" t="n">
        <v>5</v>
      </c>
      <c r="P27" s="0" t="n">
        <v>0</v>
      </c>
      <c r="Q27" s="0" t="n">
        <v>0.583333333333333</v>
      </c>
      <c r="R27" s="39" t="n">
        <v>1.333</v>
      </c>
      <c r="S27" s="0" t="n">
        <v>0.833333333333333</v>
      </c>
      <c r="T27" s="39" t="n">
        <v>0.166666666666667</v>
      </c>
      <c r="U27" s="0" t="n">
        <v>1.75</v>
      </c>
      <c r="V27" s="0" t="n">
        <v>0.416666666666667</v>
      </c>
    </row>
    <row r="28" customFormat="false" ht="12.8" hidden="false" customHeight="false" outlineLevel="0" collapsed="false">
      <c r="A28" s="0" t="n">
        <v>18.5</v>
      </c>
      <c r="B28" s="0" t="n">
        <v>7</v>
      </c>
      <c r="C28" s="0" t="n">
        <v>4.1</v>
      </c>
      <c r="D28" s="0" t="n">
        <v>4.1</v>
      </c>
      <c r="E28" s="0" t="n">
        <v>0.1</v>
      </c>
      <c r="F28" s="0" t="n">
        <v>0.1</v>
      </c>
      <c r="G28" s="0" t="n">
        <v>5</v>
      </c>
      <c r="H28" s="0" t="n">
        <v>5</v>
      </c>
      <c r="I28" s="0" t="n">
        <v>2</v>
      </c>
      <c r="J28" s="0" t="n">
        <v>5</v>
      </c>
      <c r="K28" s="0" t="n">
        <v>5</v>
      </c>
      <c r="L28" s="0" t="n">
        <v>5</v>
      </c>
      <c r="P28" s="0" t="n">
        <v>0</v>
      </c>
      <c r="Q28" s="0" t="n">
        <v>0.583333333333333</v>
      </c>
      <c r="R28" s="39" t="n">
        <v>1.333</v>
      </c>
      <c r="S28" s="0" t="n">
        <v>0.833333333333333</v>
      </c>
      <c r="T28" s="39" t="n">
        <v>0.166666666666667</v>
      </c>
      <c r="U28" s="0" t="n">
        <v>1.75</v>
      </c>
      <c r="V28" s="0" t="n">
        <v>0.416666666666667</v>
      </c>
    </row>
    <row r="29" customFormat="false" ht="12.8" hidden="false" customHeight="false" outlineLevel="0" collapsed="false">
      <c r="A29" s="0" t="n">
        <v>19</v>
      </c>
      <c r="B29" s="0" t="n">
        <v>4</v>
      </c>
      <c r="C29" s="0" t="n">
        <v>3.1</v>
      </c>
      <c r="D29" s="0" t="n">
        <v>0.1</v>
      </c>
      <c r="E29" s="0" t="n">
        <v>0.1</v>
      </c>
      <c r="F29" s="0" t="n">
        <v>0.1</v>
      </c>
      <c r="H29" s="0" t="n">
        <v>5</v>
      </c>
      <c r="J29" s="0" t="n">
        <v>5</v>
      </c>
      <c r="L29" s="0" t="n">
        <v>5</v>
      </c>
      <c r="P29" s="0" t="n">
        <v>0</v>
      </c>
      <c r="Q29" s="0" t="n">
        <v>0</v>
      </c>
      <c r="R29" s="39" t="n">
        <v>0.583333333333333</v>
      </c>
      <c r="S29" s="39" t="n">
        <v>0.166666666666667</v>
      </c>
      <c r="T29" s="0" t="n">
        <v>0.166666666666667</v>
      </c>
      <c r="U29" s="0" t="n">
        <v>0.75</v>
      </c>
      <c r="V29" s="0" t="n">
        <v>0.75</v>
      </c>
    </row>
    <row r="30" customFormat="false" ht="12.8" hidden="false" customHeight="false" outlineLevel="0" collapsed="false">
      <c r="A30" s="0" t="n">
        <v>19.5</v>
      </c>
      <c r="B30" s="0" t="n">
        <v>4</v>
      </c>
      <c r="C30" s="0" t="n">
        <v>3.1</v>
      </c>
      <c r="D30" s="0" t="n">
        <v>0.1</v>
      </c>
      <c r="E30" s="0" t="n">
        <v>0.1</v>
      </c>
      <c r="F30" s="0" t="n">
        <v>0.1</v>
      </c>
      <c r="H30" s="0" t="n">
        <v>5</v>
      </c>
      <c r="J30" s="0" t="n">
        <v>5</v>
      </c>
      <c r="L30" s="0" t="n">
        <v>5</v>
      </c>
      <c r="P30" s="0" t="n">
        <v>0</v>
      </c>
      <c r="Q30" s="0" t="n">
        <v>0</v>
      </c>
      <c r="R30" s="39" t="n">
        <v>0.583333333333333</v>
      </c>
      <c r="S30" s="39" t="n">
        <v>0.166666666666667</v>
      </c>
      <c r="T30" s="0" t="n">
        <v>0.166666666666667</v>
      </c>
      <c r="U30" s="0" t="n">
        <v>0.75</v>
      </c>
      <c r="V30" s="0" t="n">
        <v>0.75</v>
      </c>
    </row>
    <row r="31" customFormat="false" ht="12.8" hidden="false" customHeight="false" outlineLevel="0" collapsed="false">
      <c r="A31" s="0" t="n">
        <v>20</v>
      </c>
      <c r="B31" s="0" t="n">
        <v>5</v>
      </c>
      <c r="C31" s="0" t="n">
        <v>3.1</v>
      </c>
      <c r="D31" s="0" t="n">
        <v>2.1</v>
      </c>
      <c r="E31" s="0" t="n">
        <v>0.1</v>
      </c>
      <c r="F31" s="0" t="n">
        <v>0.1</v>
      </c>
      <c r="H31" s="0" t="n">
        <v>5</v>
      </c>
      <c r="J31" s="0" t="n">
        <v>5</v>
      </c>
      <c r="K31" s="0" t="n">
        <v>5</v>
      </c>
      <c r="L31" s="0" t="n">
        <v>5</v>
      </c>
      <c r="P31" s="0" t="n">
        <v>0</v>
      </c>
      <c r="Q31" s="39" t="n">
        <v>0.583333333333333</v>
      </c>
      <c r="R31" s="0" t="n">
        <v>0.166666666666667</v>
      </c>
      <c r="S31" s="39" t="n">
        <v>0.166666666666667</v>
      </c>
      <c r="T31" s="0" t="n">
        <v>0.75</v>
      </c>
      <c r="U31" s="0" t="n">
        <v>0.75</v>
      </c>
      <c r="V31" s="0" t="n">
        <v>0.416666666666667</v>
      </c>
    </row>
    <row r="32" customFormat="false" ht="12.8" hidden="false" customHeight="false" outlineLevel="0" collapsed="false">
      <c r="A32" s="0" t="n">
        <v>20.5</v>
      </c>
      <c r="B32" s="0" t="n">
        <v>5</v>
      </c>
      <c r="C32" s="0" t="n">
        <v>3.1</v>
      </c>
      <c r="D32" s="0" t="n">
        <v>2.1</v>
      </c>
      <c r="E32" s="0" t="n">
        <v>0.1</v>
      </c>
      <c r="F32" s="0" t="n">
        <v>0.1</v>
      </c>
      <c r="H32" s="0" t="n">
        <v>5</v>
      </c>
      <c r="J32" s="0" t="n">
        <v>5</v>
      </c>
      <c r="K32" s="0" t="n">
        <v>5</v>
      </c>
      <c r="L32" s="0" t="n">
        <v>5</v>
      </c>
      <c r="P32" s="0" t="n">
        <v>0</v>
      </c>
      <c r="Q32" s="39" t="n">
        <v>0.583333333333333</v>
      </c>
      <c r="R32" s="0" t="n">
        <v>0.166666666666667</v>
      </c>
      <c r="S32" s="39" t="n">
        <v>0.166666666666667</v>
      </c>
      <c r="T32" s="0" t="n">
        <v>0.75</v>
      </c>
      <c r="U32" s="0" t="n">
        <v>0.75</v>
      </c>
      <c r="V32" s="0" t="n">
        <v>0.416666666666667</v>
      </c>
    </row>
    <row r="33" customFormat="false" ht="12.8" hidden="false" customHeight="false" outlineLevel="0" collapsed="false">
      <c r="A33" s="0" t="n">
        <v>25</v>
      </c>
      <c r="B33" s="0" t="n">
        <v>7</v>
      </c>
      <c r="C33" s="0" t="n">
        <v>3.1</v>
      </c>
      <c r="D33" s="0" t="n">
        <v>6.1</v>
      </c>
      <c r="E33" s="0" t="n">
        <v>0.1</v>
      </c>
      <c r="F33" s="0" t="n">
        <v>0.1</v>
      </c>
      <c r="G33" s="0" t="n">
        <v>2</v>
      </c>
      <c r="H33" s="0" t="n">
        <v>5</v>
      </c>
      <c r="I33" s="0" t="n">
        <v>2</v>
      </c>
      <c r="J33" s="0" t="n">
        <v>5</v>
      </c>
      <c r="K33" s="0" t="n">
        <v>5</v>
      </c>
      <c r="L33" s="0" t="n">
        <v>5</v>
      </c>
      <c r="P33" s="0" t="n">
        <v>0</v>
      </c>
      <c r="Q33" s="0" t="n">
        <v>0.583333333333333</v>
      </c>
      <c r="R33" s="39" t="n">
        <v>0.25</v>
      </c>
      <c r="S33" s="0" t="n">
        <v>0.833333333333333</v>
      </c>
      <c r="T33" s="39" t="n">
        <v>1.167</v>
      </c>
      <c r="U33" s="0" t="n">
        <v>1.75</v>
      </c>
      <c r="V33" s="0" t="n">
        <v>0.416666666666667</v>
      </c>
    </row>
    <row r="34" customFormat="false" ht="12.8" hidden="false" customHeight="false" outlineLevel="0" collapsed="false">
      <c r="A34" s="0" t="n">
        <v>25.5</v>
      </c>
      <c r="B34" s="0" t="n">
        <v>7</v>
      </c>
      <c r="C34" s="0" t="n">
        <v>3.1</v>
      </c>
      <c r="D34" s="0" t="n">
        <v>6.1</v>
      </c>
      <c r="E34" s="0" t="n">
        <v>0.1</v>
      </c>
      <c r="F34" s="0" t="n">
        <v>0.1</v>
      </c>
      <c r="G34" s="0" t="n">
        <v>2</v>
      </c>
      <c r="H34" s="0" t="n">
        <v>5</v>
      </c>
      <c r="I34" s="0" t="n">
        <v>2</v>
      </c>
      <c r="J34" s="0" t="n">
        <v>5</v>
      </c>
      <c r="K34" s="0" t="n">
        <v>5</v>
      </c>
      <c r="L34" s="0" t="n">
        <v>5</v>
      </c>
      <c r="P34" s="0" t="n">
        <v>0</v>
      </c>
      <c r="Q34" s="0" t="n">
        <v>0.583333333333333</v>
      </c>
      <c r="R34" s="39" t="n">
        <v>0.25</v>
      </c>
      <c r="S34" s="0" t="n">
        <v>0.833333333333333</v>
      </c>
      <c r="T34" s="39" t="n">
        <v>1.167</v>
      </c>
      <c r="U34" s="0" t="n">
        <v>1.75</v>
      </c>
      <c r="V34" s="0" t="n">
        <v>0.416666666666667</v>
      </c>
    </row>
    <row r="35" customFormat="false" ht="12.8" hidden="false" customHeight="false" outlineLevel="0" collapsed="false">
      <c r="A35" s="0" t="n">
        <v>26</v>
      </c>
      <c r="B35" s="0" t="n">
        <v>3</v>
      </c>
      <c r="C35" s="0" t="n">
        <v>2.1</v>
      </c>
      <c r="D35" s="0" t="n">
        <v>0.1</v>
      </c>
      <c r="E35" s="0" t="n">
        <v>0.1</v>
      </c>
      <c r="F35" s="0" t="n">
        <v>0.1</v>
      </c>
      <c r="H35" s="0" t="n">
        <v>5</v>
      </c>
      <c r="J35" s="0" t="n">
        <v>5</v>
      </c>
      <c r="P35" s="0" t="n">
        <v>0</v>
      </c>
      <c r="Q35" s="0" t="n">
        <v>0</v>
      </c>
      <c r="R35" s="39" t="n">
        <v>0.583333333333333</v>
      </c>
      <c r="S35" s="0" t="n">
        <v>0.583333333333333</v>
      </c>
      <c r="T35" s="39" t="n">
        <v>0.583333333333333</v>
      </c>
      <c r="U35" s="0" t="n">
        <v>0.166666666666667</v>
      </c>
      <c r="V35" s="0" t="n">
        <v>0.166666666666667</v>
      </c>
    </row>
    <row r="36" customFormat="false" ht="12.8" hidden="false" customHeight="false" outlineLevel="0" collapsed="false">
      <c r="A36" s="0" t="n">
        <v>26.5</v>
      </c>
      <c r="B36" s="0" t="n">
        <v>3</v>
      </c>
      <c r="C36" s="0" t="n">
        <v>2.1</v>
      </c>
      <c r="D36" s="0" t="n">
        <v>0.1</v>
      </c>
      <c r="E36" s="0" t="n">
        <v>0.1</v>
      </c>
      <c r="F36" s="0" t="n">
        <v>0.1</v>
      </c>
      <c r="H36" s="0" t="n">
        <v>5</v>
      </c>
      <c r="J36" s="0" t="n">
        <v>5</v>
      </c>
      <c r="P36" s="0" t="n">
        <v>0</v>
      </c>
      <c r="Q36" s="0" t="n">
        <v>0</v>
      </c>
      <c r="R36" s="39" t="n">
        <v>0.583333333333333</v>
      </c>
      <c r="S36" s="0" t="n">
        <v>0.583333333333333</v>
      </c>
      <c r="T36" s="39" t="n">
        <v>0.583333333333333</v>
      </c>
      <c r="U36" s="0" t="n">
        <v>0.166666666666667</v>
      </c>
      <c r="V36" s="0" t="n">
        <v>0.166666666666667</v>
      </c>
    </row>
    <row r="37" customFormat="false" ht="12.8" hidden="false" customHeight="false" outlineLevel="0" collapsed="false">
      <c r="A37" s="0" t="n">
        <v>27</v>
      </c>
      <c r="B37" s="0" t="n">
        <v>4</v>
      </c>
      <c r="C37" s="0" t="n">
        <v>2.1</v>
      </c>
      <c r="D37" s="0" t="n">
        <v>2.1</v>
      </c>
      <c r="E37" s="0" t="n">
        <v>0.1</v>
      </c>
      <c r="F37" s="0" t="n">
        <v>0.1</v>
      </c>
      <c r="H37" s="0" t="n">
        <v>5</v>
      </c>
      <c r="J37" s="0" t="n">
        <v>5</v>
      </c>
      <c r="K37" s="0" t="n">
        <v>5</v>
      </c>
      <c r="P37" s="0" t="n">
        <v>0</v>
      </c>
      <c r="Q37" s="0" t="n">
        <v>0</v>
      </c>
      <c r="R37" s="39" t="n">
        <v>0.583333333333333</v>
      </c>
      <c r="S37" s="39" t="n">
        <v>0.166666666666667</v>
      </c>
      <c r="T37" s="0" t="n">
        <v>0.166666666666667</v>
      </c>
      <c r="U37" s="0" t="n">
        <v>0.416666666666667</v>
      </c>
      <c r="V37" s="0" t="n">
        <v>0.416666666666667</v>
      </c>
    </row>
    <row r="38" customFormat="false" ht="12.8" hidden="false" customHeight="false" outlineLevel="0" collapsed="false">
      <c r="A38" s="0" t="n">
        <v>27.5</v>
      </c>
      <c r="B38" s="0" t="n">
        <v>4</v>
      </c>
      <c r="C38" s="0" t="n">
        <v>2.1</v>
      </c>
      <c r="D38" s="0" t="n">
        <v>2.1</v>
      </c>
      <c r="E38" s="0" t="n">
        <v>0.1</v>
      </c>
      <c r="F38" s="0" t="n">
        <v>0.1</v>
      </c>
      <c r="H38" s="0" t="n">
        <v>5</v>
      </c>
      <c r="J38" s="0" t="n">
        <v>5</v>
      </c>
      <c r="K38" s="0" t="n">
        <v>5</v>
      </c>
      <c r="P38" s="0" t="n">
        <v>0</v>
      </c>
      <c r="Q38" s="0" t="n">
        <v>0</v>
      </c>
      <c r="R38" s="39" t="n">
        <v>0.583333333333333</v>
      </c>
      <c r="S38" s="39" t="n">
        <v>0.166666666666667</v>
      </c>
      <c r="T38" s="0" t="n">
        <v>0.166666666666667</v>
      </c>
      <c r="U38" s="0" t="n">
        <v>0.416666666666667</v>
      </c>
      <c r="V38" s="0" t="n">
        <v>0.416666666666667</v>
      </c>
    </row>
    <row r="39" customFormat="false" ht="12.8" hidden="false" customHeight="false" outlineLevel="0" collapsed="false">
      <c r="A39" s="0" t="n">
        <v>28</v>
      </c>
      <c r="B39" s="0" t="n">
        <v>5</v>
      </c>
      <c r="C39" s="0" t="n">
        <v>2.1</v>
      </c>
      <c r="D39" s="0" t="n">
        <v>4.1</v>
      </c>
      <c r="E39" s="0" t="n">
        <v>0.1</v>
      </c>
      <c r="F39" s="0" t="n">
        <v>0.1</v>
      </c>
      <c r="H39" s="0" t="n">
        <v>5</v>
      </c>
      <c r="I39" s="0" t="n">
        <v>2</v>
      </c>
      <c r="J39" s="0" t="n">
        <v>5</v>
      </c>
      <c r="K39" s="0" t="n">
        <v>5</v>
      </c>
      <c r="P39" s="0" t="n">
        <v>0</v>
      </c>
      <c r="Q39" s="0" t="n">
        <v>0.583333333333333</v>
      </c>
      <c r="R39" s="0" t="n">
        <v>0.833333333333333</v>
      </c>
      <c r="S39" s="39" t="n">
        <v>0.166666666666667</v>
      </c>
      <c r="T39" s="39" t="n">
        <v>0.166666666666667</v>
      </c>
      <c r="U39" s="0" t="n">
        <v>0.416666666666667</v>
      </c>
      <c r="V39" s="0" t="n">
        <v>0.416666666666667</v>
      </c>
    </row>
    <row r="40" customFormat="false" ht="12.8" hidden="false" customHeight="false" outlineLevel="0" collapsed="false">
      <c r="A40" s="0" t="n">
        <v>28.5</v>
      </c>
      <c r="B40" s="0" t="n">
        <v>5</v>
      </c>
      <c r="C40" s="0" t="n">
        <v>2.1</v>
      </c>
      <c r="D40" s="0" t="n">
        <v>4.1</v>
      </c>
      <c r="E40" s="0" t="n">
        <v>0.1</v>
      </c>
      <c r="F40" s="0" t="n">
        <v>0.1</v>
      </c>
      <c r="H40" s="0" t="n">
        <v>5</v>
      </c>
      <c r="I40" s="0" t="n">
        <v>2</v>
      </c>
      <c r="J40" s="0" t="n">
        <v>5</v>
      </c>
      <c r="K40" s="0" t="n">
        <v>5</v>
      </c>
      <c r="P40" s="0" t="n">
        <v>0</v>
      </c>
      <c r="Q40" s="0" t="n">
        <v>0.583333333333333</v>
      </c>
      <c r="R40" s="0" t="n">
        <v>0.833333333333333</v>
      </c>
      <c r="S40" s="39" t="n">
        <v>0.166666666666667</v>
      </c>
      <c r="T40" s="39" t="n">
        <v>0.166666666666667</v>
      </c>
      <c r="U40" s="0" t="n">
        <v>0.416666666666667</v>
      </c>
      <c r="V40" s="0" t="n">
        <v>0.416666666666667</v>
      </c>
    </row>
    <row r="41" customFormat="false" ht="12.8" hidden="false" customHeight="false" outlineLevel="0" collapsed="false">
      <c r="A41" s="0" t="n">
        <v>29</v>
      </c>
      <c r="B41" s="0" t="n">
        <v>6</v>
      </c>
      <c r="C41" s="0" t="n">
        <v>2.1</v>
      </c>
      <c r="D41" s="0" t="n">
        <v>6.1</v>
      </c>
      <c r="E41" s="0" t="n">
        <v>0.1</v>
      </c>
      <c r="F41" s="0" t="n">
        <v>0.1</v>
      </c>
      <c r="G41" s="0" t="n">
        <v>2</v>
      </c>
      <c r="H41" s="0" t="n">
        <v>5</v>
      </c>
      <c r="I41" s="0" t="n">
        <v>2</v>
      </c>
      <c r="J41" s="0" t="n">
        <v>5</v>
      </c>
      <c r="K41" s="0" t="n">
        <v>5</v>
      </c>
      <c r="P41" s="0" t="n">
        <v>0</v>
      </c>
      <c r="Q41" s="0" t="n">
        <v>0.583333333333333</v>
      </c>
      <c r="R41" s="0" t="n">
        <v>0.25</v>
      </c>
      <c r="S41" s="0" t="n">
        <v>0.25</v>
      </c>
      <c r="T41" s="39" t="n">
        <v>0.833333333333333</v>
      </c>
      <c r="U41" s="0" t="n">
        <v>1.167</v>
      </c>
      <c r="V41" s="0" t="n">
        <v>0.416666666666667</v>
      </c>
    </row>
    <row r="42" customFormat="false" ht="12.8" hidden="false" customHeight="false" outlineLevel="0" collapsed="false">
      <c r="A42" s="0" t="n">
        <v>29.5</v>
      </c>
      <c r="B42" s="0" t="n">
        <v>6</v>
      </c>
      <c r="C42" s="0" t="n">
        <v>2.1</v>
      </c>
      <c r="D42" s="0" t="n">
        <v>6.1</v>
      </c>
      <c r="E42" s="0" t="n">
        <v>0.1</v>
      </c>
      <c r="F42" s="0" t="n">
        <v>0.1</v>
      </c>
      <c r="G42" s="0" t="n">
        <v>2</v>
      </c>
      <c r="H42" s="0" t="n">
        <v>5</v>
      </c>
      <c r="I42" s="0" t="n">
        <v>2</v>
      </c>
      <c r="J42" s="0" t="n">
        <v>5</v>
      </c>
      <c r="K42" s="0" t="n">
        <v>5</v>
      </c>
      <c r="P42" s="0" t="n">
        <v>0</v>
      </c>
      <c r="Q42" s="0" t="n">
        <v>0.583333333333333</v>
      </c>
      <c r="R42" s="0" t="n">
        <v>0.25</v>
      </c>
      <c r="S42" s="0" t="n">
        <v>0.25</v>
      </c>
      <c r="T42" s="39" t="n">
        <v>0.833333333333333</v>
      </c>
      <c r="U42" s="0" t="n">
        <v>1.167</v>
      </c>
      <c r="V42" s="0" t="n">
        <v>0.416666666666667</v>
      </c>
    </row>
    <row r="43" customFormat="false" ht="12.8" hidden="false" customHeight="false" outlineLevel="0" collapsed="false">
      <c r="A43" s="0" t="n">
        <v>31</v>
      </c>
      <c r="B43" s="0" t="n">
        <v>7</v>
      </c>
      <c r="C43" s="0" t="n">
        <v>2.1</v>
      </c>
      <c r="D43" s="0" t="n">
        <v>8.1</v>
      </c>
      <c r="E43" s="0" t="n">
        <v>0.1</v>
      </c>
      <c r="F43" s="0" t="n">
        <v>0.1</v>
      </c>
      <c r="G43" s="0" t="n">
        <v>2</v>
      </c>
      <c r="H43" s="0" t="n">
        <v>5</v>
      </c>
      <c r="I43" s="0" t="n">
        <v>2</v>
      </c>
      <c r="J43" s="0" t="n">
        <v>5</v>
      </c>
      <c r="K43" s="0" t="n">
        <v>5</v>
      </c>
      <c r="L43" s="0" t="n">
        <v>2</v>
      </c>
      <c r="P43" s="0" t="n">
        <v>0</v>
      </c>
      <c r="Q43" s="0" t="n">
        <v>1.583</v>
      </c>
      <c r="R43" s="39" t="n">
        <v>0.25</v>
      </c>
      <c r="S43" s="0" t="n">
        <v>0.833333333333333</v>
      </c>
      <c r="T43" s="39" t="n">
        <v>1.167</v>
      </c>
      <c r="U43" s="0" t="n">
        <v>0.666666666666667</v>
      </c>
      <c r="V43" s="0" t="n">
        <v>0.416666666666667</v>
      </c>
    </row>
    <row r="44" customFormat="false" ht="12.8" hidden="false" customHeight="false" outlineLevel="0" collapsed="false">
      <c r="A44" s="0" t="n">
        <v>31.5</v>
      </c>
      <c r="B44" s="0" t="n">
        <v>7</v>
      </c>
      <c r="C44" s="0" t="n">
        <v>2.1</v>
      </c>
      <c r="D44" s="0" t="n">
        <v>8.1</v>
      </c>
      <c r="E44" s="0" t="n">
        <v>0.1</v>
      </c>
      <c r="F44" s="0" t="n">
        <v>0.1</v>
      </c>
      <c r="G44" s="0" t="n">
        <v>2</v>
      </c>
      <c r="H44" s="0" t="n">
        <v>5</v>
      </c>
      <c r="I44" s="0" t="n">
        <v>2</v>
      </c>
      <c r="J44" s="0" t="n">
        <v>5</v>
      </c>
      <c r="K44" s="0" t="n">
        <v>5</v>
      </c>
      <c r="L44" s="0" t="n">
        <v>2</v>
      </c>
      <c r="P44" s="0" t="n">
        <v>0</v>
      </c>
      <c r="Q44" s="0" t="n">
        <v>1.583</v>
      </c>
      <c r="R44" s="39" t="n">
        <v>0.25</v>
      </c>
      <c r="S44" s="0" t="n">
        <v>0.833333333333333</v>
      </c>
      <c r="T44" s="39" t="n">
        <v>1.167</v>
      </c>
      <c r="U44" s="0" t="n">
        <v>0.666666666666667</v>
      </c>
      <c r="V44" s="0" t="n">
        <v>0.416666666666667</v>
      </c>
    </row>
    <row r="45" customFormat="false" ht="12.8" hidden="false" customHeight="false" outlineLevel="0" collapsed="false">
      <c r="A45" s="0" t="n">
        <v>33</v>
      </c>
      <c r="B45" s="0" t="n">
        <v>6</v>
      </c>
      <c r="C45" s="0" t="n">
        <v>2.1</v>
      </c>
      <c r="D45" s="0" t="n">
        <v>0.1</v>
      </c>
      <c r="E45" s="0" t="n">
        <v>0.1</v>
      </c>
      <c r="F45" s="0" t="n">
        <v>2.1</v>
      </c>
      <c r="G45" s="0" t="n">
        <v>2</v>
      </c>
      <c r="H45" s="0" t="n">
        <v>5</v>
      </c>
      <c r="I45" s="0" t="n">
        <v>2</v>
      </c>
      <c r="J45" s="0" t="n">
        <v>5</v>
      </c>
      <c r="L45" s="0" t="n">
        <v>2</v>
      </c>
      <c r="P45" s="0" t="n">
        <v>0</v>
      </c>
      <c r="Q45" s="39" t="n">
        <v>1.583</v>
      </c>
      <c r="R45" s="0" t="n">
        <v>0.25</v>
      </c>
      <c r="S45" s="0" t="n">
        <v>0.25</v>
      </c>
      <c r="T45" s="39" t="n">
        <v>0.833333333333333</v>
      </c>
      <c r="U45" s="0" t="n">
        <v>1.167</v>
      </c>
      <c r="V45" s="0" t="n">
        <v>0.666666666666667</v>
      </c>
    </row>
    <row r="46" customFormat="false" ht="12.8" hidden="false" customHeight="false" outlineLevel="0" collapsed="false">
      <c r="A46" s="0" t="n">
        <v>33.5</v>
      </c>
      <c r="B46" s="0" t="n">
        <v>6</v>
      </c>
      <c r="C46" s="0" t="n">
        <v>2.1</v>
      </c>
      <c r="D46" s="0" t="n">
        <v>0.1</v>
      </c>
      <c r="E46" s="0" t="n">
        <v>0.1</v>
      </c>
      <c r="F46" s="0" t="n">
        <v>2.1</v>
      </c>
      <c r="G46" s="0" t="n">
        <v>2</v>
      </c>
      <c r="H46" s="0" t="n">
        <v>5</v>
      </c>
      <c r="I46" s="0" t="n">
        <v>2</v>
      </c>
      <c r="J46" s="0" t="n">
        <v>5</v>
      </c>
      <c r="L46" s="0" t="n">
        <v>2</v>
      </c>
      <c r="P46" s="0" t="n">
        <v>0</v>
      </c>
      <c r="Q46" s="39" t="n">
        <v>1.583</v>
      </c>
      <c r="R46" s="0" t="n">
        <v>0.25</v>
      </c>
      <c r="S46" s="0" t="n">
        <v>0.25</v>
      </c>
      <c r="T46" s="39" t="n">
        <v>0.833333333333333</v>
      </c>
      <c r="U46" s="0" t="n">
        <v>1.167</v>
      </c>
      <c r="V46" s="0" t="n">
        <v>0.666666666666667</v>
      </c>
    </row>
    <row r="47" customFormat="false" ht="12.8" hidden="false" customHeight="false" outlineLevel="0" collapsed="false">
      <c r="A47" s="0" t="n">
        <v>34</v>
      </c>
      <c r="B47" s="0" t="n">
        <v>2</v>
      </c>
      <c r="C47" s="0" t="n">
        <v>1.1</v>
      </c>
      <c r="D47" s="0" t="n">
        <v>0.1</v>
      </c>
      <c r="E47" s="0" t="n">
        <v>0.1</v>
      </c>
      <c r="F47" s="0" t="n">
        <v>0.1</v>
      </c>
      <c r="H47" s="0" t="n">
        <v>5</v>
      </c>
      <c r="P47" s="0" t="n">
        <v>0</v>
      </c>
      <c r="Q47" s="0" t="n">
        <v>0</v>
      </c>
      <c r="R47" s="39" t="n">
        <v>0</v>
      </c>
      <c r="S47" s="0" t="n">
        <v>0.583333333333333</v>
      </c>
      <c r="T47" s="39" t="n">
        <v>0.583333333333333</v>
      </c>
      <c r="U47" s="0" t="n">
        <v>0.583333333333333</v>
      </c>
      <c r="V47" s="0" t="n">
        <v>0.583333333333333</v>
      </c>
    </row>
    <row r="48" customFormat="false" ht="12.8" hidden="false" customHeight="false" outlineLevel="0" collapsed="false">
      <c r="A48" s="0" t="n">
        <v>34.5</v>
      </c>
      <c r="B48" s="0" t="n">
        <v>2</v>
      </c>
      <c r="C48" s="0" t="n">
        <v>1.1</v>
      </c>
      <c r="D48" s="0" t="n">
        <v>0.1</v>
      </c>
      <c r="E48" s="0" t="n">
        <v>0.1</v>
      </c>
      <c r="F48" s="0" t="n">
        <v>0.1</v>
      </c>
      <c r="H48" s="0" t="n">
        <v>5</v>
      </c>
      <c r="P48" s="0" t="n">
        <v>0</v>
      </c>
      <c r="Q48" s="0" t="n">
        <v>0</v>
      </c>
      <c r="R48" s="39" t="n">
        <v>0</v>
      </c>
      <c r="S48" s="0" t="n">
        <v>0.583333333333333</v>
      </c>
      <c r="T48" s="39" t="n">
        <v>0.583333333333333</v>
      </c>
      <c r="U48" s="0" t="n">
        <v>0.583333333333333</v>
      </c>
      <c r="V48" s="0" t="n">
        <v>0.583333333333333</v>
      </c>
    </row>
    <row r="49" customFormat="false" ht="12.8" hidden="false" customHeight="false" outlineLevel="0" collapsed="false">
      <c r="A49" s="0" t="n">
        <v>35</v>
      </c>
      <c r="B49" s="0" t="n">
        <v>3</v>
      </c>
      <c r="C49" s="0" t="n">
        <v>1.1</v>
      </c>
      <c r="D49" s="0" t="n">
        <v>2.1</v>
      </c>
      <c r="E49" s="0" t="n">
        <v>0.1</v>
      </c>
      <c r="F49" s="0" t="n">
        <v>0.1</v>
      </c>
      <c r="H49" s="0" t="n">
        <v>5</v>
      </c>
      <c r="K49" s="0" t="n">
        <v>5</v>
      </c>
      <c r="P49" s="0" t="n">
        <v>0</v>
      </c>
      <c r="Q49" s="0" t="n">
        <v>0</v>
      </c>
      <c r="R49" s="39" t="n">
        <v>0</v>
      </c>
      <c r="S49" s="0" t="n">
        <v>0.583333333333333</v>
      </c>
      <c r="T49" s="39" t="n">
        <v>0.583333333333333</v>
      </c>
      <c r="U49" s="0" t="n">
        <v>0.416666666666667</v>
      </c>
      <c r="V49" s="0" t="n">
        <v>0.416666666666667</v>
      </c>
    </row>
    <row r="50" customFormat="false" ht="12.8" hidden="false" customHeight="false" outlineLevel="0" collapsed="false">
      <c r="A50" s="0" t="n">
        <v>35.5</v>
      </c>
      <c r="B50" s="0" t="n">
        <v>3</v>
      </c>
      <c r="C50" s="0" t="n">
        <v>1.1</v>
      </c>
      <c r="D50" s="0" t="n">
        <v>2.1</v>
      </c>
      <c r="E50" s="0" t="n">
        <v>0.1</v>
      </c>
      <c r="F50" s="0" t="n">
        <v>0.1</v>
      </c>
      <c r="H50" s="0" t="n">
        <v>5</v>
      </c>
      <c r="K50" s="0" t="n">
        <v>5</v>
      </c>
      <c r="P50" s="0" t="n">
        <v>0</v>
      </c>
      <c r="Q50" s="0" t="n">
        <v>0</v>
      </c>
      <c r="R50" s="39" t="n">
        <v>0</v>
      </c>
      <c r="S50" s="0" t="n">
        <v>0.583333333333333</v>
      </c>
      <c r="T50" s="39" t="n">
        <v>0.583333333333333</v>
      </c>
      <c r="U50" s="0" t="n">
        <v>0.416666666666667</v>
      </c>
      <c r="V50" s="0" t="n">
        <v>0.416666666666667</v>
      </c>
    </row>
    <row r="51" customFormat="false" ht="12.8" hidden="false" customHeight="true" outlineLevel="0" collapsed="false">
      <c r="A51" s="0" t="n">
        <v>36</v>
      </c>
      <c r="B51" s="0" t="n">
        <v>4</v>
      </c>
      <c r="C51" s="0" t="n">
        <v>1.1</v>
      </c>
      <c r="D51" s="0" t="n">
        <v>4.1</v>
      </c>
      <c r="E51" s="0" t="n">
        <v>0.1</v>
      </c>
      <c r="F51" s="0" t="n">
        <v>0.1</v>
      </c>
      <c r="H51" s="0" t="n">
        <v>5</v>
      </c>
      <c r="I51" s="0" t="n">
        <v>2</v>
      </c>
      <c r="K51" s="0" t="n">
        <v>5</v>
      </c>
      <c r="P51" s="0" t="n">
        <v>0</v>
      </c>
      <c r="Q51" s="0" t="n">
        <v>0</v>
      </c>
      <c r="R51" s="39" t="n">
        <v>0.583333333333333</v>
      </c>
      <c r="S51" s="0" t="n">
        <v>0.833333333333333</v>
      </c>
      <c r="T51" s="39" t="n">
        <v>0.833333333333333</v>
      </c>
      <c r="U51" s="0" t="n">
        <v>0.416666666666667</v>
      </c>
      <c r="V51" s="0" t="n">
        <v>0.416666666666667</v>
      </c>
    </row>
    <row r="52" customFormat="false" ht="12.8" hidden="false" customHeight="false" outlineLevel="0" collapsed="false">
      <c r="A52" s="0" t="n">
        <v>36.5</v>
      </c>
      <c r="B52" s="0" t="n">
        <v>4</v>
      </c>
      <c r="C52" s="0" t="n">
        <v>1.1</v>
      </c>
      <c r="D52" s="0" t="n">
        <v>4.1</v>
      </c>
      <c r="E52" s="0" t="n">
        <v>0.1</v>
      </c>
      <c r="F52" s="0" t="n">
        <v>0.1</v>
      </c>
      <c r="H52" s="0" t="n">
        <v>5</v>
      </c>
      <c r="I52" s="0" t="n">
        <v>2</v>
      </c>
      <c r="K52" s="0" t="n">
        <v>5</v>
      </c>
      <c r="P52" s="0" t="n">
        <v>0</v>
      </c>
      <c r="Q52" s="0" t="n">
        <v>0</v>
      </c>
      <c r="R52" s="39" t="n">
        <v>0.583333333333333</v>
      </c>
      <c r="S52" s="0" t="n">
        <v>0.833333333333333</v>
      </c>
      <c r="T52" s="39" t="n">
        <v>0.833333333333333</v>
      </c>
      <c r="U52" s="0" t="n">
        <v>0.416666666666667</v>
      </c>
      <c r="V52" s="0" t="n">
        <v>0.416666666666667</v>
      </c>
    </row>
    <row r="53" customFormat="false" ht="12.8" hidden="false" customHeight="false" outlineLevel="0" collapsed="false">
      <c r="A53" s="0" t="n">
        <v>37</v>
      </c>
      <c r="B53" s="0" t="n">
        <v>5</v>
      </c>
      <c r="C53" s="0" t="n">
        <v>1.1</v>
      </c>
      <c r="D53" s="0" t="n">
        <v>6.1</v>
      </c>
      <c r="E53" s="0" t="n">
        <v>0.1</v>
      </c>
      <c r="F53" s="0" t="n">
        <v>0.1</v>
      </c>
      <c r="G53" s="0" t="n">
        <v>2</v>
      </c>
      <c r="H53" s="0" t="n">
        <v>5</v>
      </c>
      <c r="I53" s="0" t="n">
        <v>2</v>
      </c>
      <c r="K53" s="0" t="n">
        <v>5</v>
      </c>
      <c r="P53" s="0" t="n">
        <v>0</v>
      </c>
      <c r="Q53" s="39" t="n">
        <v>0.583333333333333</v>
      </c>
      <c r="R53" s="0" t="n">
        <v>0.25</v>
      </c>
      <c r="S53" s="0" t="n">
        <v>0.25</v>
      </c>
      <c r="T53" s="39" t="n">
        <v>0.833333333333333</v>
      </c>
      <c r="U53" s="0" t="n">
        <v>0.833333333333333</v>
      </c>
      <c r="V53" s="0" t="n">
        <v>0.416666666666667</v>
      </c>
    </row>
    <row r="54" customFormat="false" ht="12.8" hidden="false" customHeight="false" outlineLevel="0" collapsed="false">
      <c r="A54" s="0" t="n">
        <v>37.5</v>
      </c>
      <c r="B54" s="0" t="n">
        <v>5</v>
      </c>
      <c r="C54" s="0" t="n">
        <v>1.1</v>
      </c>
      <c r="D54" s="0" t="n">
        <v>6.1</v>
      </c>
      <c r="E54" s="0" t="n">
        <v>0.1</v>
      </c>
      <c r="F54" s="0" t="n">
        <v>0.1</v>
      </c>
      <c r="G54" s="0" t="n">
        <v>2</v>
      </c>
      <c r="H54" s="0" t="n">
        <v>5</v>
      </c>
      <c r="I54" s="0" t="n">
        <v>2</v>
      </c>
      <c r="K54" s="0" t="n">
        <v>5</v>
      </c>
      <c r="P54" s="0" t="n">
        <v>0</v>
      </c>
      <c r="Q54" s="39" t="n">
        <v>0.583333333333333</v>
      </c>
      <c r="R54" s="0" t="n">
        <v>0.25</v>
      </c>
      <c r="S54" s="0" t="n">
        <v>0.25</v>
      </c>
      <c r="T54" s="39" t="n">
        <v>0.833333333333333</v>
      </c>
      <c r="U54" s="0" t="n">
        <v>0.833333333333333</v>
      </c>
      <c r="V54" s="0" t="n">
        <v>0.416666666666667</v>
      </c>
    </row>
    <row r="55" customFormat="false" ht="12.8" hidden="false" customHeight="false" outlineLevel="0" collapsed="false">
      <c r="A55" s="0" t="n">
        <v>39</v>
      </c>
      <c r="B55" s="0" t="n">
        <v>6</v>
      </c>
      <c r="C55" s="0" t="n">
        <v>1.1</v>
      </c>
      <c r="D55" s="0" t="n">
        <v>8.1</v>
      </c>
      <c r="E55" s="0" t="n">
        <v>0.1</v>
      </c>
      <c r="F55" s="0" t="n">
        <v>0.1</v>
      </c>
      <c r="G55" s="0" t="n">
        <v>2</v>
      </c>
      <c r="H55" s="0" t="n">
        <v>5</v>
      </c>
      <c r="I55" s="0" t="n">
        <v>2</v>
      </c>
      <c r="K55" s="0" t="n">
        <v>5</v>
      </c>
      <c r="L55" s="0" t="n">
        <v>2</v>
      </c>
      <c r="P55" s="0" t="n">
        <v>0</v>
      </c>
      <c r="Q55" s="0" t="n">
        <v>1.583</v>
      </c>
      <c r="R55" s="0" t="n">
        <v>0.25</v>
      </c>
      <c r="S55" s="39" t="n">
        <v>0.833333333333333</v>
      </c>
      <c r="T55" s="39" t="n">
        <v>0.833333333333333</v>
      </c>
      <c r="U55" s="0" t="n">
        <v>0.666666666666667</v>
      </c>
      <c r="V55" s="0" t="n">
        <v>0.416666666666667</v>
      </c>
    </row>
    <row r="56" customFormat="false" ht="12.8" hidden="false" customHeight="false" outlineLevel="0" collapsed="false">
      <c r="A56" s="0" t="n">
        <v>39.5</v>
      </c>
      <c r="B56" s="0" t="n">
        <v>6</v>
      </c>
      <c r="C56" s="0" t="n">
        <v>1.1</v>
      </c>
      <c r="D56" s="0" t="n">
        <v>8.1</v>
      </c>
      <c r="E56" s="0" t="n">
        <v>0.1</v>
      </c>
      <c r="F56" s="0" t="n">
        <v>0.1</v>
      </c>
      <c r="G56" s="0" t="n">
        <v>2</v>
      </c>
      <c r="H56" s="0" t="n">
        <v>5</v>
      </c>
      <c r="I56" s="0" t="n">
        <v>2</v>
      </c>
      <c r="K56" s="0" t="n">
        <v>5</v>
      </c>
      <c r="L56" s="0" t="n">
        <v>2</v>
      </c>
      <c r="P56" s="0" t="n">
        <v>0</v>
      </c>
      <c r="Q56" s="0" t="n">
        <v>1.583</v>
      </c>
      <c r="R56" s="0" t="n">
        <v>0.25</v>
      </c>
      <c r="S56" s="39" t="n">
        <v>0.833333333333333</v>
      </c>
      <c r="T56" s="39" t="n">
        <v>0.833333333333333</v>
      </c>
      <c r="U56" s="0" t="n">
        <v>0.666666666666667</v>
      </c>
      <c r="V56" s="0" t="n">
        <v>0.416666666666667</v>
      </c>
    </row>
    <row r="57" customFormat="false" ht="12.8" hidden="false" customHeight="false" outlineLevel="0" collapsed="false">
      <c r="A57" s="0" t="n">
        <v>40</v>
      </c>
      <c r="B57" s="0" t="n">
        <v>4</v>
      </c>
      <c r="C57" s="0" t="n">
        <v>1.1</v>
      </c>
      <c r="D57" s="0" t="n">
        <v>0.1</v>
      </c>
      <c r="E57" s="0" t="n">
        <v>0.1</v>
      </c>
      <c r="F57" s="0" t="n">
        <v>2.1</v>
      </c>
      <c r="G57" s="0" t="n">
        <v>2</v>
      </c>
      <c r="H57" s="0" t="n">
        <v>5</v>
      </c>
      <c r="L57" s="0" t="n">
        <v>2</v>
      </c>
      <c r="P57" s="0" t="n">
        <v>0.666666666666667</v>
      </c>
      <c r="Q57" s="0" t="n">
        <v>0.666666666666667</v>
      </c>
      <c r="R57" s="0" t="n">
        <v>0.25</v>
      </c>
      <c r="S57" s="0" t="n">
        <v>0</v>
      </c>
      <c r="T57" s="0" t="n">
        <v>0</v>
      </c>
      <c r="U57" s="39" t="n">
        <v>1.583</v>
      </c>
      <c r="V57" s="39" t="n">
        <v>1.583</v>
      </c>
    </row>
    <row r="58" customFormat="false" ht="12.8" hidden="false" customHeight="false" outlineLevel="0" collapsed="false">
      <c r="A58" s="0" t="n">
        <v>40.5</v>
      </c>
      <c r="B58" s="0" t="n">
        <v>4</v>
      </c>
      <c r="C58" s="0" t="n">
        <v>1.1</v>
      </c>
      <c r="D58" s="0" t="n">
        <v>0.1</v>
      </c>
      <c r="E58" s="0" t="n">
        <v>0.1</v>
      </c>
      <c r="F58" s="0" t="n">
        <v>2.1</v>
      </c>
      <c r="G58" s="0" t="n">
        <v>2</v>
      </c>
      <c r="H58" s="0" t="n">
        <v>5</v>
      </c>
      <c r="L58" s="0" t="n">
        <v>2</v>
      </c>
      <c r="P58" s="0" t="n">
        <v>0.666666666666667</v>
      </c>
      <c r="Q58" s="0" t="n">
        <v>0.666666666666667</v>
      </c>
      <c r="R58" s="0" t="n">
        <v>0.25</v>
      </c>
      <c r="S58" s="0" t="n">
        <v>0</v>
      </c>
      <c r="T58" s="0" t="n">
        <v>0</v>
      </c>
      <c r="U58" s="39" t="n">
        <v>1.583</v>
      </c>
      <c r="V58" s="39" t="n">
        <v>1.583</v>
      </c>
    </row>
    <row r="59" customFormat="false" ht="12.8" hidden="false" customHeight="false" outlineLevel="0" collapsed="false">
      <c r="A59" s="0" t="n">
        <v>42</v>
      </c>
      <c r="B59" s="0" t="n">
        <v>7</v>
      </c>
      <c r="C59" s="0" t="n">
        <v>1.1</v>
      </c>
      <c r="D59" s="0" t="n">
        <v>10.1</v>
      </c>
      <c r="E59" s="0" t="n">
        <v>0.1</v>
      </c>
      <c r="F59" s="0" t="n">
        <v>0.1</v>
      </c>
      <c r="G59" s="0" t="n">
        <v>2</v>
      </c>
      <c r="H59" s="0" t="n">
        <v>5</v>
      </c>
      <c r="I59" s="0" t="n">
        <v>2</v>
      </c>
      <c r="J59" s="0" t="n">
        <v>2</v>
      </c>
      <c r="K59" s="0" t="n">
        <v>5</v>
      </c>
      <c r="L59" s="0" t="n">
        <v>2</v>
      </c>
      <c r="P59" s="0" t="n">
        <v>1</v>
      </c>
      <c r="Q59" s="0" t="n">
        <v>1.583</v>
      </c>
      <c r="R59" s="39" t="n">
        <v>0.25</v>
      </c>
      <c r="S59" s="0" t="n">
        <v>0.833333333333333</v>
      </c>
      <c r="T59" s="39" t="n">
        <v>0.666666666666667</v>
      </c>
      <c r="U59" s="0" t="n">
        <v>0.416666666666667</v>
      </c>
      <c r="V59" s="0" t="n">
        <v>0.0833333333333333</v>
      </c>
    </row>
    <row r="60" customFormat="false" ht="12.8" hidden="false" customHeight="false" outlineLevel="0" collapsed="false">
      <c r="A60" s="0" t="n">
        <v>42.5</v>
      </c>
      <c r="B60" s="0" t="n">
        <v>7</v>
      </c>
      <c r="C60" s="0" t="n">
        <v>1.1</v>
      </c>
      <c r="D60" s="0" t="n">
        <v>10.1</v>
      </c>
      <c r="E60" s="0" t="n">
        <v>0.1</v>
      </c>
      <c r="F60" s="0" t="n">
        <v>0.1</v>
      </c>
      <c r="G60" s="0" t="n">
        <v>2</v>
      </c>
      <c r="H60" s="0" t="n">
        <v>5</v>
      </c>
      <c r="I60" s="0" t="n">
        <v>2</v>
      </c>
      <c r="J60" s="0" t="n">
        <v>2</v>
      </c>
      <c r="K60" s="0" t="n">
        <v>5</v>
      </c>
      <c r="L60" s="0" t="n">
        <v>2</v>
      </c>
      <c r="P60" s="0" t="n">
        <v>1</v>
      </c>
      <c r="Q60" s="0" t="n">
        <v>1.583</v>
      </c>
      <c r="R60" s="39" t="n">
        <v>0.25</v>
      </c>
      <c r="S60" s="0" t="n">
        <v>0.833333333333333</v>
      </c>
      <c r="T60" s="39" t="n">
        <v>0.666666666666667</v>
      </c>
      <c r="U60" s="0" t="n">
        <v>0.416666666666667</v>
      </c>
      <c r="V60" s="0" t="n">
        <v>0.0833333333333333</v>
      </c>
    </row>
    <row r="61" customFormat="false" ht="12.8" hidden="false" customHeight="false" outlineLevel="0" collapsed="false">
      <c r="A61" s="0" t="n">
        <v>43</v>
      </c>
      <c r="B61" s="0" t="n">
        <v>6</v>
      </c>
      <c r="C61" s="0" t="n">
        <v>1.1</v>
      </c>
      <c r="D61" s="0" t="n">
        <v>2.1</v>
      </c>
      <c r="E61" s="0" t="n">
        <v>0.1</v>
      </c>
      <c r="F61" s="0" t="n">
        <v>2.1</v>
      </c>
      <c r="G61" s="0" t="n">
        <v>2</v>
      </c>
      <c r="H61" s="0" t="n">
        <v>5</v>
      </c>
      <c r="I61" s="0" t="n">
        <v>2</v>
      </c>
      <c r="J61" s="0" t="n">
        <v>2</v>
      </c>
      <c r="K61" s="0" t="n">
        <v>5</v>
      </c>
      <c r="P61" s="0" t="n">
        <v>1</v>
      </c>
      <c r="Q61" s="0" t="n">
        <v>1.583</v>
      </c>
      <c r="R61" s="39" t="n">
        <v>0.25</v>
      </c>
      <c r="S61" s="39" t="n">
        <v>0.25</v>
      </c>
      <c r="T61" s="0" t="n">
        <v>0.666666666666667</v>
      </c>
      <c r="U61" s="39" t="n">
        <v>0.416666666666667</v>
      </c>
      <c r="V61" s="0" t="n">
        <v>0.0833333333333333</v>
      </c>
    </row>
    <row r="62" customFormat="false" ht="12.8" hidden="false" customHeight="false" outlineLevel="0" collapsed="false">
      <c r="A62" s="0" t="n">
        <v>43.5</v>
      </c>
      <c r="B62" s="0" t="n">
        <v>6</v>
      </c>
      <c r="C62" s="0" t="n">
        <v>1.1</v>
      </c>
      <c r="D62" s="0" t="n">
        <v>2.1</v>
      </c>
      <c r="E62" s="0" t="n">
        <v>0.1</v>
      </c>
      <c r="F62" s="0" t="n">
        <v>2.1</v>
      </c>
      <c r="G62" s="0" t="n">
        <v>2</v>
      </c>
      <c r="H62" s="0" t="n">
        <v>5</v>
      </c>
      <c r="I62" s="0" t="n">
        <v>2</v>
      </c>
      <c r="J62" s="0" t="n">
        <v>2</v>
      </c>
      <c r="K62" s="0" t="n">
        <v>5</v>
      </c>
      <c r="P62" s="0" t="n">
        <v>1</v>
      </c>
      <c r="Q62" s="0" t="n">
        <v>1.583</v>
      </c>
      <c r="R62" s="39" t="n">
        <v>0.25</v>
      </c>
      <c r="S62" s="39" t="n">
        <v>0.25</v>
      </c>
      <c r="T62" s="0" t="n">
        <v>0.666666666666667</v>
      </c>
      <c r="U62" s="39" t="n">
        <v>0.416666666666667</v>
      </c>
      <c r="V62" s="0" t="n">
        <v>0.0833333333333333</v>
      </c>
    </row>
    <row r="63" customFormat="false" ht="12.8" hidden="false" customHeight="false" outlineLevel="0" collapsed="false">
      <c r="A63" s="0" t="n">
        <v>45</v>
      </c>
      <c r="B63" s="0" t="n">
        <v>2</v>
      </c>
      <c r="C63" s="0" t="n">
        <v>0.1</v>
      </c>
      <c r="D63" s="0" t="n">
        <v>2.1</v>
      </c>
      <c r="E63" s="0" t="n">
        <v>0.1</v>
      </c>
      <c r="F63" s="0" t="n">
        <v>0.1</v>
      </c>
      <c r="K63" s="0" t="n">
        <v>5</v>
      </c>
      <c r="P63" s="0" t="n">
        <v>0</v>
      </c>
      <c r="Q63" s="0" t="n">
        <v>0</v>
      </c>
      <c r="R63" s="39" t="n">
        <v>0</v>
      </c>
      <c r="S63" s="0" t="n">
        <v>0.416666666666667</v>
      </c>
      <c r="T63" s="39" t="n">
        <v>0.416666666666667</v>
      </c>
      <c r="U63" s="0" t="n">
        <v>0.416666666666667</v>
      </c>
      <c r="V63" s="0" t="n">
        <v>0.416666666666667</v>
      </c>
    </row>
    <row r="64" customFormat="false" ht="12.8" hidden="false" customHeight="false" outlineLevel="0" collapsed="false">
      <c r="A64" s="0" t="n">
        <v>45.5</v>
      </c>
      <c r="B64" s="0" t="n">
        <v>2</v>
      </c>
      <c r="C64" s="0" t="n">
        <v>0.1</v>
      </c>
      <c r="D64" s="0" t="n">
        <v>2.1</v>
      </c>
      <c r="E64" s="0" t="n">
        <v>0.1</v>
      </c>
      <c r="F64" s="0" t="n">
        <v>0.1</v>
      </c>
      <c r="K64" s="0" t="n">
        <v>5</v>
      </c>
      <c r="P64" s="0" t="n">
        <v>0</v>
      </c>
      <c r="Q64" s="0" t="n">
        <v>0</v>
      </c>
      <c r="R64" s="39" t="n">
        <v>0</v>
      </c>
      <c r="S64" s="0" t="n">
        <v>0.416666666666667</v>
      </c>
      <c r="T64" s="39" t="n">
        <v>0.416666666666667</v>
      </c>
      <c r="U64" s="0" t="n">
        <v>0.416666666666667</v>
      </c>
      <c r="V64" s="0" t="n">
        <v>0.416666666666667</v>
      </c>
    </row>
    <row r="65" customFormat="false" ht="12.8" hidden="false" customHeight="false" outlineLevel="0" collapsed="false">
      <c r="A65" s="0" t="n">
        <v>46</v>
      </c>
      <c r="B65" s="0" t="n">
        <v>3</v>
      </c>
      <c r="C65" s="0" t="n">
        <v>0.1</v>
      </c>
      <c r="D65" s="0" t="n">
        <v>4.1</v>
      </c>
      <c r="E65" s="0" t="n">
        <v>0.1</v>
      </c>
      <c r="F65" s="0" t="n">
        <v>0.1</v>
      </c>
      <c r="I65" s="0" t="n">
        <v>2</v>
      </c>
      <c r="K65" s="0" t="n">
        <v>5</v>
      </c>
      <c r="P65" s="0" t="n">
        <v>0</v>
      </c>
      <c r="Q65" s="0" t="n">
        <v>0</v>
      </c>
      <c r="R65" s="39" t="n">
        <v>0.833333333333333</v>
      </c>
      <c r="S65" s="0" t="n">
        <v>0.833333333333333</v>
      </c>
      <c r="T65" s="39" t="n">
        <v>0.416666666666667</v>
      </c>
      <c r="U65" s="0" t="n">
        <v>0.416666666666667</v>
      </c>
      <c r="V65" s="0" t="n">
        <v>0.416666666666667</v>
      </c>
    </row>
    <row r="66" customFormat="false" ht="12.8" hidden="false" customHeight="false" outlineLevel="0" collapsed="false">
      <c r="A66" s="0" t="n">
        <v>46.5</v>
      </c>
      <c r="B66" s="0" t="n">
        <v>3</v>
      </c>
      <c r="C66" s="0" t="n">
        <v>0.1</v>
      </c>
      <c r="D66" s="0" t="n">
        <v>4.1</v>
      </c>
      <c r="E66" s="0" t="n">
        <v>0.1</v>
      </c>
      <c r="F66" s="0" t="n">
        <v>0.1</v>
      </c>
      <c r="I66" s="0" t="n">
        <v>2</v>
      </c>
      <c r="K66" s="0" t="n">
        <v>5</v>
      </c>
      <c r="P66" s="0" t="n">
        <v>0</v>
      </c>
      <c r="Q66" s="0" t="n">
        <v>0</v>
      </c>
      <c r="R66" s="39" t="n">
        <v>0.833333333333333</v>
      </c>
      <c r="S66" s="0" t="n">
        <v>0.833333333333333</v>
      </c>
      <c r="T66" s="39" t="n">
        <v>0.416666666666667</v>
      </c>
      <c r="U66" s="0" t="n">
        <v>0.416666666666667</v>
      </c>
      <c r="V66" s="0" t="n">
        <v>0.416666666666667</v>
      </c>
    </row>
    <row r="67" customFormat="false" ht="12.8" hidden="false" customHeight="false" outlineLevel="0" collapsed="false">
      <c r="A67" s="0" t="n">
        <v>47</v>
      </c>
      <c r="B67" s="0" t="n">
        <v>4</v>
      </c>
      <c r="C67" s="0" t="n">
        <v>0.1</v>
      </c>
      <c r="D67" s="0" t="n">
        <v>6.1</v>
      </c>
      <c r="E67" s="0" t="n">
        <v>0.1</v>
      </c>
      <c r="F67" s="0" t="n">
        <v>0.1</v>
      </c>
      <c r="G67" s="0" t="n">
        <v>2</v>
      </c>
      <c r="I67" s="0" t="n">
        <v>2</v>
      </c>
      <c r="K67" s="0" t="n">
        <v>5</v>
      </c>
      <c r="P67" s="0" t="n">
        <v>0.416666666666667</v>
      </c>
      <c r="Q67" s="0" t="n">
        <v>0.416666666666667</v>
      </c>
      <c r="R67" s="0" t="n">
        <v>0</v>
      </c>
      <c r="S67" s="0" t="n">
        <v>0.25</v>
      </c>
      <c r="T67" s="39" t="n">
        <v>0.25</v>
      </c>
      <c r="U67" s="39" t="n">
        <v>0.833333333333333</v>
      </c>
      <c r="V67" s="0" t="n">
        <v>0.416666666666667</v>
      </c>
    </row>
    <row r="68" customFormat="false" ht="12.8" hidden="false" customHeight="false" outlineLevel="0" collapsed="false">
      <c r="A68" s="0" t="n">
        <v>47.5</v>
      </c>
      <c r="B68" s="0" t="n">
        <v>4</v>
      </c>
      <c r="C68" s="0" t="n">
        <v>0.1</v>
      </c>
      <c r="D68" s="0" t="n">
        <v>6.1</v>
      </c>
      <c r="E68" s="0" t="n">
        <v>0.1</v>
      </c>
      <c r="F68" s="0" t="n">
        <v>0.1</v>
      </c>
      <c r="G68" s="0" t="n">
        <v>2</v>
      </c>
      <c r="I68" s="0" t="n">
        <v>2</v>
      </c>
      <c r="K68" s="0" t="n">
        <v>5</v>
      </c>
      <c r="P68" s="0" t="n">
        <v>0.416666666666667</v>
      </c>
      <c r="Q68" s="0" t="n">
        <v>0.416666666666667</v>
      </c>
      <c r="R68" s="0" t="n">
        <v>0</v>
      </c>
      <c r="S68" s="0" t="n">
        <v>0.25</v>
      </c>
      <c r="T68" s="39" t="n">
        <v>0.25</v>
      </c>
      <c r="U68" s="39" t="n">
        <v>0.833333333333333</v>
      </c>
      <c r="V68" s="0" t="n">
        <v>0.416666666666667</v>
      </c>
    </row>
    <row r="69" customFormat="false" ht="12.8" hidden="false" customHeight="false" outlineLevel="0" collapsed="false">
      <c r="A69" s="0" t="n">
        <v>48</v>
      </c>
      <c r="B69" s="0" t="n">
        <v>5</v>
      </c>
      <c r="C69" s="0" t="n">
        <v>0.1</v>
      </c>
      <c r="D69" s="0" t="n">
        <v>8.1</v>
      </c>
      <c r="E69" s="0" t="n">
        <v>0.1</v>
      </c>
      <c r="F69" s="0" t="n">
        <v>0.1</v>
      </c>
      <c r="G69" s="0" t="n">
        <v>2</v>
      </c>
      <c r="I69" s="0" t="n">
        <v>2</v>
      </c>
      <c r="K69" s="0" t="n">
        <v>5</v>
      </c>
      <c r="L69" s="0" t="n">
        <v>2</v>
      </c>
      <c r="P69" s="0" t="n">
        <v>0</v>
      </c>
      <c r="Q69" s="0" t="n">
        <v>0.25</v>
      </c>
      <c r="R69" s="39" t="n">
        <v>0.25</v>
      </c>
      <c r="S69" s="0" t="n">
        <v>0.833333333333333</v>
      </c>
      <c r="T69" s="0" t="n">
        <v>0.833333333333333</v>
      </c>
      <c r="U69" s="39" t="n">
        <v>0.666666666666667</v>
      </c>
      <c r="V69" s="0" t="n">
        <v>0.416666666666667</v>
      </c>
    </row>
    <row r="70" customFormat="false" ht="12.8" hidden="false" customHeight="false" outlineLevel="0" collapsed="false">
      <c r="A70" s="0" t="n">
        <v>48.5</v>
      </c>
      <c r="B70" s="0" t="n">
        <v>5</v>
      </c>
      <c r="C70" s="0" t="n">
        <v>0.1</v>
      </c>
      <c r="D70" s="0" t="n">
        <v>8.1</v>
      </c>
      <c r="E70" s="0" t="n">
        <v>0.1</v>
      </c>
      <c r="F70" s="0" t="n">
        <v>0.1</v>
      </c>
      <c r="G70" s="0" t="n">
        <v>2</v>
      </c>
      <c r="I70" s="0" t="n">
        <v>2</v>
      </c>
      <c r="K70" s="0" t="n">
        <v>5</v>
      </c>
      <c r="L70" s="0" t="n">
        <v>2</v>
      </c>
      <c r="P70" s="0" t="n">
        <v>0</v>
      </c>
      <c r="Q70" s="0" t="n">
        <v>0.25</v>
      </c>
      <c r="R70" s="39" t="n">
        <v>0.25</v>
      </c>
      <c r="S70" s="0" t="n">
        <v>0.833333333333333</v>
      </c>
      <c r="T70" s="0" t="n">
        <v>0.833333333333333</v>
      </c>
      <c r="U70" s="39" t="n">
        <v>0.666666666666667</v>
      </c>
      <c r="V70" s="0" t="n">
        <v>0.416666666666667</v>
      </c>
    </row>
    <row r="71" customFormat="false" ht="12.8" hidden="false" customHeight="false" outlineLevel="0" collapsed="false">
      <c r="A71" s="0" t="n">
        <v>50</v>
      </c>
      <c r="B71" s="0" t="n">
        <v>6</v>
      </c>
      <c r="C71" s="0" t="n">
        <v>0.1</v>
      </c>
      <c r="D71" s="0" t="n">
        <v>10.1</v>
      </c>
      <c r="E71" s="0" t="n">
        <v>0.1</v>
      </c>
      <c r="F71" s="0" t="n">
        <v>0.1</v>
      </c>
      <c r="G71" s="0" t="n">
        <v>2</v>
      </c>
      <c r="I71" s="0" t="n">
        <v>2</v>
      </c>
      <c r="J71" s="0" t="n">
        <v>2</v>
      </c>
      <c r="K71" s="0" t="n">
        <v>5</v>
      </c>
      <c r="L71" s="0" t="n">
        <v>2</v>
      </c>
      <c r="P71" s="0" t="n">
        <v>1</v>
      </c>
      <c r="Q71" s="0" t="n">
        <v>0.25</v>
      </c>
      <c r="R71" s="0" t="n">
        <v>0.25</v>
      </c>
      <c r="S71" s="39" t="n">
        <v>0.833333333333333</v>
      </c>
      <c r="T71" s="0" t="n">
        <v>0.666666666666667</v>
      </c>
      <c r="U71" s="39" t="n">
        <v>0.416666666666667</v>
      </c>
      <c r="V71" s="0" t="n">
        <v>0.0833333333333333</v>
      </c>
    </row>
    <row r="72" customFormat="false" ht="12.8" hidden="false" customHeight="false" outlineLevel="0" collapsed="false">
      <c r="A72" s="0" t="n">
        <v>50.5</v>
      </c>
      <c r="B72" s="0" t="n">
        <v>6</v>
      </c>
      <c r="C72" s="0" t="n">
        <v>0.1</v>
      </c>
      <c r="D72" s="0" t="n">
        <v>10.1</v>
      </c>
      <c r="E72" s="0" t="n">
        <v>0.1</v>
      </c>
      <c r="F72" s="0" t="n">
        <v>0.1</v>
      </c>
      <c r="G72" s="0" t="n">
        <v>2</v>
      </c>
      <c r="I72" s="0" t="n">
        <v>2</v>
      </c>
      <c r="J72" s="0" t="n">
        <v>2</v>
      </c>
      <c r="K72" s="0" t="n">
        <v>5</v>
      </c>
      <c r="L72" s="0" t="n">
        <v>2</v>
      </c>
      <c r="P72" s="0" t="n">
        <v>1</v>
      </c>
      <c r="Q72" s="0" t="n">
        <v>0.25</v>
      </c>
      <c r="R72" s="0" t="n">
        <v>0.25</v>
      </c>
      <c r="S72" s="39" t="n">
        <v>0.833333333333333</v>
      </c>
      <c r="T72" s="0" t="n">
        <v>0.666666666666667</v>
      </c>
      <c r="U72" s="39" t="n">
        <v>0.416666666666667</v>
      </c>
      <c r="V72" s="0" t="n">
        <v>0.0833333333333333</v>
      </c>
    </row>
    <row r="73" customFormat="false" ht="12.8" hidden="false" customHeight="false" outlineLevel="0" collapsed="false">
      <c r="A73" s="0" t="n">
        <v>51</v>
      </c>
      <c r="B73" s="0" t="n">
        <v>4</v>
      </c>
      <c r="C73" s="0" t="n">
        <v>0.1</v>
      </c>
      <c r="D73" s="0" t="n">
        <v>2.1</v>
      </c>
      <c r="E73" s="0" t="n">
        <v>0.1</v>
      </c>
      <c r="F73" s="0" t="n">
        <v>2.1</v>
      </c>
      <c r="J73" s="0" t="n">
        <v>2</v>
      </c>
      <c r="K73" s="0" t="n">
        <v>5</v>
      </c>
      <c r="L73" s="0" t="n">
        <v>2</v>
      </c>
      <c r="P73" s="0" t="n">
        <v>0.0833333333333333</v>
      </c>
      <c r="Q73" s="0" t="n">
        <v>0.0833333333333333</v>
      </c>
      <c r="R73" s="39" t="n">
        <v>0.666666666666667</v>
      </c>
      <c r="S73" s="39" t="n">
        <v>0.416666666666667</v>
      </c>
      <c r="T73" s="0" t="n">
        <v>0.416666666666667</v>
      </c>
      <c r="U73" s="0" t="n">
        <v>1</v>
      </c>
      <c r="V73" s="0" t="n">
        <v>1</v>
      </c>
    </row>
    <row r="74" customFormat="false" ht="12.8" hidden="false" customHeight="false" outlineLevel="0" collapsed="false">
      <c r="A74" s="0" t="n">
        <v>51.5</v>
      </c>
      <c r="B74" s="0" t="n">
        <v>4</v>
      </c>
      <c r="C74" s="0" t="n">
        <v>0.1</v>
      </c>
      <c r="D74" s="0" t="n">
        <v>2.1</v>
      </c>
      <c r="E74" s="0" t="n">
        <v>0.1</v>
      </c>
      <c r="F74" s="0" t="n">
        <v>2.1</v>
      </c>
      <c r="J74" s="0" t="n">
        <v>2</v>
      </c>
      <c r="K74" s="0" t="n">
        <v>5</v>
      </c>
      <c r="L74" s="0" t="n">
        <v>2</v>
      </c>
      <c r="P74" s="0" t="n">
        <v>0.0833333333333333</v>
      </c>
      <c r="Q74" s="0" t="n">
        <v>0.0833333333333333</v>
      </c>
      <c r="R74" s="39" t="n">
        <v>0.666666666666667</v>
      </c>
      <c r="S74" s="39" t="n">
        <v>0.416666666666667</v>
      </c>
      <c r="T74" s="0" t="n">
        <v>0.416666666666667</v>
      </c>
      <c r="U74" s="0" t="n">
        <v>1</v>
      </c>
      <c r="V74" s="0" t="n">
        <v>1</v>
      </c>
    </row>
    <row r="75" customFormat="false" ht="12.8" hidden="false" customHeight="false" outlineLevel="0" collapsed="false">
      <c r="A75" s="0" t="n">
        <v>54</v>
      </c>
      <c r="B75" s="0" t="n">
        <v>6</v>
      </c>
      <c r="C75" s="0" t="n">
        <v>0.1</v>
      </c>
      <c r="D75" s="0" t="n">
        <v>4.1</v>
      </c>
      <c r="E75" s="0" t="n">
        <v>0.1</v>
      </c>
      <c r="F75" s="0" t="n">
        <v>2.1</v>
      </c>
      <c r="H75" s="0" t="n">
        <v>2</v>
      </c>
      <c r="I75" s="0" t="n">
        <v>2</v>
      </c>
      <c r="J75" s="0" t="n">
        <v>2</v>
      </c>
      <c r="K75" s="0" t="n">
        <v>5</v>
      </c>
      <c r="L75" s="0" t="n">
        <v>2</v>
      </c>
      <c r="P75" s="0" t="n">
        <v>1</v>
      </c>
      <c r="Q75" s="0" t="n">
        <v>0.5</v>
      </c>
      <c r="R75" s="39" t="n">
        <v>0.833333333333333</v>
      </c>
      <c r="S75" s="39" t="n">
        <v>0.833333333333333</v>
      </c>
      <c r="T75" s="39" t="n">
        <v>0.666666666666667</v>
      </c>
      <c r="U75" s="0" t="n">
        <v>1.417</v>
      </c>
      <c r="V75" s="0" t="n">
        <v>0.0833333333333333</v>
      </c>
    </row>
    <row r="76" customFormat="false" ht="12.8" hidden="false" customHeight="false" outlineLevel="0" collapsed="false">
      <c r="A76" s="0" t="n">
        <v>54.5</v>
      </c>
      <c r="B76" s="0" t="n">
        <v>6</v>
      </c>
      <c r="C76" s="0" t="n">
        <v>0.1</v>
      </c>
      <c r="D76" s="0" t="n">
        <v>4.1</v>
      </c>
      <c r="E76" s="0" t="n">
        <v>0.1</v>
      </c>
      <c r="F76" s="0" t="n">
        <v>2.1</v>
      </c>
      <c r="H76" s="0" t="n">
        <v>2</v>
      </c>
      <c r="I76" s="0" t="n">
        <v>2</v>
      </c>
      <c r="J76" s="0" t="n">
        <v>2</v>
      </c>
      <c r="K76" s="0" t="n">
        <v>5</v>
      </c>
      <c r="L76" s="0" t="n">
        <v>2</v>
      </c>
      <c r="P76" s="0" t="n">
        <v>1</v>
      </c>
      <c r="Q76" s="0" t="n">
        <v>0.5</v>
      </c>
      <c r="R76" s="39" t="n">
        <v>0.833333333333333</v>
      </c>
      <c r="S76" s="39" t="n">
        <v>0.833333333333333</v>
      </c>
      <c r="T76" s="39" t="n">
        <v>0.666666666666667</v>
      </c>
      <c r="U76" s="0" t="n">
        <v>1.417</v>
      </c>
      <c r="V76" s="0" t="n">
        <v>0.0833333333333333</v>
      </c>
    </row>
    <row r="86" customFormat="false" ht="12.8" hidden="false" customHeight="true" outlineLevel="0" collapsed="false"/>
  </sheetData>
  <autoFilter ref="A4:V76"/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2574</TotalTime>
  <Application>LibreOffice/7.0.1.2$Windows_X86_64 LibreOffice_project/7cbcfc562f6eb6708b5ff7d7397325de9e764452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2022-01-13T22:46:12Z</dcterms:created>
  <dc:creator/>
  <dc:description/>
  <dc:language>en-US</dc:language>
  <cp:lastModifiedBy/>
  <dcterms:modified xsi:type="dcterms:W3CDTF">2022-08-27T09:00:13Z</dcterms:modified>
  <cp:revision>34</cp:revision>
  <dc:subject/>
  <dc:title/>
</cp:coreProperties>
</file>